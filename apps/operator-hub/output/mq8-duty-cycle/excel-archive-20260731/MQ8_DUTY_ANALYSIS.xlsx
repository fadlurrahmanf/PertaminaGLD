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b161d0f20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80894cc2ef143f8"/>
    <x:sheet xmlns:r="http://schemas.openxmlformats.org/officeDocument/2006/relationships" name="Uji Terkontrol" sheetId="2" r:id="R014c8cede971404e"/>
    <x:sheet xmlns:r="http://schemas.openxmlformats.org/officeDocument/2006/relationships" name="Cooldown" sheetId="3" r:id="Rc40d41c5552e4c4d"/>
    <x:sheet xmlns:r="http://schemas.openxmlformats.org/officeDocument/2006/relationships" name="Trend 1 Menit" sheetId="4" r:id="R400bd138966946fb"/>
    <x:sheet xmlns:r="http://schemas.openxmlformats.org/officeDocument/2006/relationships" name="100pct Pengguna" sheetId="5" r:id="R31635ce5fab6425d"/>
    <x:sheet xmlns:r="http://schemas.openxmlformats.org/officeDocument/2006/relationships" name="Referensi Lama" sheetId="6" r:id="Rdd37a4645e5e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</x:fills>
  <x:borders count="28">
    <x:border/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7F9F6E"/>
      </x:left>
      <x:top style="thin">
        <x:color rgb="FF7F9F6E"/>
      </x:top>
    </x:border>
    <x:border>
      <x:top style="thin">
        <x:color rgb="FF7F9F6E"/>
      </x:top>
    </x:border>
    <x:border>
      <x:right style="thin">
        <x:color rgb="FF7F9F6E"/>
      </x:right>
      <x:top style="thin">
        <x:color rgb="FF7F9F6E"/>
      </x:top>
    </x:border>
    <x:border>
      <x:left style="thin">
        <x:color rgb="FF7F9F6E"/>
      </x:left>
      <x:bottom style="thin">
        <x:color rgb="FF7F9F6E"/>
      </x:bottom>
    </x:border>
    <x:border>
      <x:bottom style="thin">
        <x:color rgb="FF7F9F6E"/>
      </x:bottom>
    </x:border>
    <x:border>
      <x:right style="thin">
        <x:color rgb="FF7F9F6E"/>
      </x:right>
      <x:bottom style="thin">
        <x:color rgb="FF7F9F6E"/>
      </x:bottom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top style="thin">
        <x:color rgb="FFC9B458"/>
      </x:top>
      <x:bottom style="thin">
        <x:color rgb="FFC9B458"/>
      </x:bottom>
    </x:border>
    <x:border>
      <x:top style="thin">
        <x:color rgb="FFC9B458"/>
      </x:top>
      <x:bottom style="thin">
        <x:color rgb="FFC9B458"/>
      </x:bottom>
    </x:border>
    <x:border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202" fontId="0" fillId="0" borderId="3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0" fillId="6" borderId="2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24" xfId="0" applyNumberFormat="1" applyFont="1" applyFill="1" applyBorder="1" applyAlignment="1">
      <x:alignment vertical="center" wrapText="1"/>
    </x:xf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vertical="center" wrapText="1"/>
    </x:xf>
    <x:xf numFmtId="0" fontId="0" fillId="5" borderId="26" xfId="0" applyNumberFormat="1" applyFont="1" applyFill="1" applyBorder="1" applyAlignment="1">
      <x:alignment vertical="center" wrapText="1"/>
    </x:xf>
    <x:xf numFmtId="0" fontId="0" fillId="5" borderId="2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45d44d0fc4d46" /><Relationship Type="http://schemas.openxmlformats.org/officeDocument/2006/relationships/theme" Target="/xl/theme/theme1.xml" Id="R85fb6e6ea3f841d9" /><Relationship Type="http://schemas.openxmlformats.org/officeDocument/2006/relationships/sharedStrings" Target="/xl/sharedStrings.xml" Id="R818f915fd6fb43cd" /><Relationship Type="http://schemas.openxmlformats.org/officeDocument/2006/relationships/worksheet" Target="/xl/worksheets/sheet1.xml" Id="R080894cc2ef143f8" /><Relationship Type="http://schemas.openxmlformats.org/officeDocument/2006/relationships/worksheet" Target="/xl/worksheets/sheet2.xml" Id="R014c8cede971404e" /><Relationship Type="http://schemas.openxmlformats.org/officeDocument/2006/relationships/worksheet" Target="/xl/worksheets/sheet3.xml" Id="Rc40d41c5552e4c4d" /><Relationship Type="http://schemas.openxmlformats.org/officeDocument/2006/relationships/worksheet" Target="/xl/worksheets/sheet4.xml" Id="R400bd138966946fb" /><Relationship Type="http://schemas.openxmlformats.org/officeDocument/2006/relationships/worksheet" Target="/xl/worksheets/sheet5.xml" Id="R31635ce5fab6425d" /><Relationship Type="http://schemas.openxmlformats.org/officeDocument/2006/relationships/worksheet" Target="/xl/worksheets/sheet6.xml" Id="Rdd37a4645e5e45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705d52e384463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5affcc1ffa242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per menit — respons run terkendali</a:t>
            </a:r>
          </a:p>
        </c:rich>
      </c:tx>
    </c:title>
    <c:plotArea>
      <c:lineChart>
        <c:grouping val="standard"/>
        <c:ser>
          <c:idx val="0"/>
          <c:order val="0"/>
          <c:tx>
            <c:v>37.5% (mV)</c:v>
          </c:tx>
          <c:marker>
            <c:symbol val="none"/>
          </c:marker>
          <c:cat>
            <c:strRef>
              <c:f>'Trend 1 Menit'!$A$5:$A$16</c:f>
              <c:strCache>
                <c:ptCount val="0"/>
              </c:strCache>
            </c:strRef>
          </c:cat>
          <c:val>
            <c:numRef>
              <c:f>'Trend 1 Menit'!$B$5:$B$16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50% (mV)</c:v>
          </c:tx>
          <c:marker>
            <c:symbol val="none"/>
          </c:marker>
          <c:cat>
            <c:strRef>
              <c:f>'Trend 1 Menit'!$A$5:$A$16</c:f>
              <c:strCache>
                <c:ptCount val="0"/>
              </c:strCache>
            </c:strRef>
          </c:cat>
          <c:val>
            <c:numRef>
              <c:f>'Trend 1 Menit'!$C$5:$C$16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100% / 40m (mV)</c:v>
          </c:tx>
          <c:marker>
            <c:symbol val="none"/>
          </c:marker>
          <c:cat>
            <c:strRef>
              <c:f>'Trend 1 Menit'!$A$5:$A$16</c:f>
              <c:strCache>
                <c:ptCount val="0"/>
              </c:strCache>
            </c:strRef>
          </c:cat>
          <c:val>
            <c:numRef>
              <c:f>'Trend 1 Menit'!$D$5:$D$16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100% / 60m (mV)</c:v>
          </c:tx>
          <c:marker>
            <c:symbol val="none"/>
          </c:marker>
          <c:cat>
            <c:strRef>
              <c:f>'Trend 1 Menit'!$A$5:$A$16</c:f>
              <c:strCache>
                <c:ptCount val="0"/>
              </c:strCache>
            </c:strRef>
          </c:cat>
          <c:val>
            <c:numRef>
              <c:f>'Trend 1 Menit'!$E$5:$E$16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100% tambahan — rerata bin 30 detik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bin 30s (mV)</c:v>
          </c:tx>
          <c:marker>
            <c:symbol val="none"/>
          </c:marker>
          <c:cat>
            <c:strRef>
              <c:f>'100pct Pengguna'!$A$5:$A$31</c:f>
              <c:strCache>
                <c:ptCount val="0"/>
              </c:strCache>
            </c:strRef>
          </c:cat>
          <c:val>
            <c:numRef>
              <c:f>'100pct Pengguna'!$B$5:$B$31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705d52e384463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ffcc1ffa242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87ebe57ce734a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3229aff56f7e4c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5" hidden="0" customWidth="1"/>
    <x:col min="4" max="4" width="16" hidden="0" customWidth="1"/>
    <x:col min="5" max="5" width="19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Analisis MQ8 — Duty Cycle Heater (IO8)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Sumber: CSV eksperimen terorganisasi hingga 30 Juli 2026. Nilai adalah tegangan MQ8; interpretasi tidak dipakai untuk inferensi gas/alarm.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4" t="str">
        <x:v>Keputusan</x:v>
      </x:c>
      <x:c r="B4" s="14" t="str">
        <x:v>Hasil berbasis data</x:v>
      </x:c>
      <x:c r="C4" s="14"/>
      <x:c r="D4" s="14"/>
      <x:c r="E4" s="14"/>
      <x:c r="F4" s="14"/>
    </x:row>
    <x:row r="5">
      <x:c r="A5" s="33" t="str">
        <x:v>Tujuan</x:v>
      </x:c>
      <x:c r="B5" s="34" t="str">
        <x:v>Menilai respons MQ8 terhadap duty cycle IO8 dan menentukan apakah ada plateau stabil.</x:v>
      </x:c>
      <x:c r="C5" s="34"/>
      <x:c r="D5" s="34"/>
      <x:c r="E5" s="34"/>
      <x:c r="F5" s="35"/>
    </x:row>
    <x:row r="6">
      <x:c r="A6" s="36" t="str">
        <x:v>Ambang respons</x:v>
      </x:c>
      <x:c r="B6" s="37" t="str">
        <x:v>Baseline dingin: rata-rata -1.1375 mV; batas mean + 3SD = -1.0483 mV.</x:v>
      </x:c>
      <x:c r="C6" s="37"/>
      <x:c r="D6" s="37"/>
      <x:c r="E6" s="37"/>
      <x:c r="F6" s="38"/>
    </x:row>
    <x:row r="7">
      <x:c r="A7" s="36" t="str">
        <x:v>12.5% &amp; 25%</x:v>
      </x:c>
      <x:c r="B7" s="37" t="str">
        <x:v>Tidak berbeda bermakna dari baseline dingin dalam rekaman 40 menit.</x:v>
      </x:c>
      <x:c r="C7" s="37"/>
      <x:c r="D7" s="37"/>
      <x:c r="E7" s="37"/>
      <x:c r="F7" s="38"/>
    </x:row>
    <x:row r="8">
      <x:c r="A8" s="36" t="str">
        <x:v>37.5% &amp; 50%</x:v>
      </x:c>
      <x:c r="B8" s="37" t="str">
        <x:v>Ada respons kuat dan band lokal, tetapi masing-masing hanya satu run terkendali; belum cukup untuk karakteristik final.</x:v>
      </x:c>
      <x:c r="C8" s="37"/>
      <x:c r="D8" s="37"/>
      <x:c r="E8" s="37"/>
      <x:c r="F8" s="38"/>
    </x:row>
    <x:row r="9">
      <x:c r="A9" s="39" t="str">
        <x:v>100%</x:v>
      </x:c>
      <x:c r="B9" s="40" t="str">
        <x:v>Dua run tidak repeatable dan belum membuktikan plateau permanen. Jangan tetapkan waktu siap dari 100% saja.</x:v>
      </x:c>
      <x:c r="C9" s="40"/>
      <x:c r="D9" s="40"/>
      <x:c r="E9" s="40"/>
      <x:c r="F9" s="41"/>
    </x:row>
    <x:row r="11">
      <x:c r="A11" s="56" t="str">
        <x:v>Rekomendasi operasional sementara: gunakan pemanasan kontinu dan aturan warm-up konservatif 15–20 menit sambil mengumpulkan pengulangan cold-start. Untuk data saat ini, jangan memakai duty cycle 12.5%/25% sebagai mode pembacaan karena responsnya tetap seperti sensor dingin.</x:v>
      </x:c>
      <x:c r="B11" s="57"/>
      <x:c r="C11" s="57"/>
      <x:c r="D11" s="57"/>
      <x:c r="E11" s="57"/>
      <x:c r="F11" s="57"/>
      <x:c r="G11" s="57"/>
      <x:c r="H11" s="57"/>
      <x:c r="I11" s="57"/>
      <x:c r="J11" s="58"/>
    </x:row>
    <x:row r="12">
      <x:c r="A12" s="59"/>
      <x:c r="B12" s="60"/>
      <x:c r="C12" s="60"/>
      <x:c r="D12" s="60"/>
      <x:c r="E12" s="60"/>
      <x:c r="F12" s="60"/>
      <x:c r="G12" s="60"/>
      <x:c r="H12" s="60"/>
      <x:c r="I12" s="60"/>
      <x:c r="J12" s="61"/>
    </x:row>
    <x:row r="14">
      <x:c r="A14" s="14" t="str">
        <x:v>Run</x:v>
      </x:c>
      <x:c r="B14" s="14" t="str">
        <x:v>Duty</x:v>
      </x:c>
      <x:c r="C14" s="14" t="str">
        <x:v>Durasi (min)</x:v>
      </x:c>
      <x:c r="D14" s="14" t="str">
        <x:v>Δ 5 menit (mV)</x:v>
      </x:c>
      <x:c r="E14" s="14" t="str">
        <x:v>Status</x:v>
      </x:c>
      <x:c r="F14" s="14" t="str">
        <x:v>Kesimpulan singkat</x:v>
      </x:c>
    </x:row>
    <x:row r="15">
      <x:c r="A15" s="33" t="str">
        <x:v>OFF</x:v>
      </x:c>
      <x:c r="B15" s="62" t="n">
        <x:v>0</x:v>
      </x:c>
      <x:c r="C15" s="65" t="n">
        <x:v>15</x:v>
      </x:c>
      <x:c r="D15" s="65" t="n">
        <x:f>'Uji Terkontrol'!G5</x:f>
        <x:v>-0.015000000000000124</x:v>
      </x:c>
      <x:c r="E15" s="34" t="str">
        <x:v>Tidak ada respons</x:v>
      </x:c>
      <x:c r="F15" s="35" t="str">
        <x:v>Baseline dingin; pembanding.</x:v>
      </x:c>
    </x:row>
    <x:row r="16">
      <x:c r="A16" s="36" t="str">
        <x:v>12.5%</x:v>
      </x:c>
      <x:c r="B16" s="63" t="n">
        <x:v>0.125</x:v>
      </x:c>
      <x:c r="C16" s="66" t="n">
        <x:v>40</x:v>
      </x:c>
      <x:c r="D16" s="66" t="n">
        <x:f>'Uji Terkontrol'!G6</x:f>
        <x:v>-0.030000000000000027</x:v>
      </x:c>
      <x:c r="E16" s="37" t="str">
        <x:v>Tidak ada respons</x:v>
      </x:c>
      <x:c r="F16" s="38" t="str">
        <x:v>Setara baseline dingin dalam rentang noise.</x:v>
      </x:c>
    </x:row>
    <x:row r="17">
      <x:c r="A17" s="36" t="str">
        <x:v>25%</x:v>
      </x:c>
      <x:c r="B17" s="63" t="n">
        <x:v>0.25</x:v>
      </x:c>
      <x:c r="C17" s="66" t="n">
        <x:v>40</x:v>
      </x:c>
      <x:c r="D17" s="66" t="n">
        <x:f>'Uji Terkontrol'!G7</x:f>
        <x:v>0.016000000000000014</x:v>
      </x:c>
      <x:c r="E17" s="37" t="str">
        <x:v>Tidak ada respons</x:v>
      </x:c>
      <x:c r="F17" s="38" t="str">
        <x:v>Setara baseline dingin dalam rentang noise.</x:v>
      </x:c>
    </x:row>
    <x:row r="18">
      <x:c r="A18" s="36" t="str">
        <x:v>37.5%</x:v>
      </x:c>
      <x:c r="B18" s="63" t="n">
        <x:v>0.375</x:v>
      </x:c>
      <x:c r="C18" s="66" t="n">
        <x:v>40</x:v>
      </x:c>
      <x:c r="D18" s="66" t="n">
        <x:f>'Uji Terkontrol'!G8</x:f>
        <x:v>17.72</x:v>
      </x:c>
      <x:c r="E18" s="37" t="str">
        <x:v>Respons kuat</x:v>
      </x:c>
      <x:c r="F18" s="38" t="str">
        <x:v>Band lokal sekitar 124–126 mV; perlu pengulangan dingin.</x:v>
      </x:c>
    </x:row>
    <x:row r="19">
      <x:c r="A19" s="36" t="str">
        <x:v>50%</x:v>
      </x:c>
      <x:c r="B19" s="63" t="n">
        <x:v>0.5</x:v>
      </x:c>
      <x:c r="C19" s="66" t="n">
        <x:v>40</x:v>
      </x:c>
      <x:c r="D19" s="66" t="n">
        <x:f>'Uji Terkontrol'!G9</x:f>
        <x:v>0.9579999999999984</x:v>
      </x:c>
      <x:c r="E19" s="37" t="str">
        <x:v>Respons kuat</x:v>
      </x:c>
      <x:c r="F19" s="38" t="str">
        <x:v>Band lokal sekitar 225–234 mV; ada drift ringan setelah 30 menit.</x:v>
      </x:c>
    </x:row>
    <x:row r="20">
      <x:c r="A20" s="36" t="str">
        <x:v>100% / 40 min</x:v>
      </x:c>
      <x:c r="B20" s="63" t="n">
        <x:v>1</x:v>
      </x:c>
      <x:c r="C20" s="66" t="n">
        <x:v>40</x:v>
      </x:c>
      <x:c r="D20" s="66" t="n">
        <x:f>'Uji Terkontrol'!G10</x:f>
        <x:v>-219.817</x:v>
      </x:c>
      <x:c r="E20" s="37" t="str">
        <x:v>Belum plateau</x:v>
      </x:c>
      <x:c r="F20" s="38" t="str">
        <x:v>Terus turun hingga akhir rekaman; bukan plateau stabil.</x:v>
      </x:c>
    </x:row>
    <x:row r="21">
      <x:c r="A21" s="39" t="str">
        <x:v>100% / 60 min</x:v>
      </x:c>
      <x:c r="B21" s="64" t="n">
        <x:v>1</x:v>
      </x:c>
      <x:c r="C21" s="67" t="n">
        <x:v>60</x:v>
      </x:c>
      <x:c r="D21" s="67" t="n">
        <x:f>'Uji Terkontrol'!G11</x:f>
        <x:v>-17.683999999999997</x:v>
      </x:c>
      <x:c r="E21" s="40" t="str">
        <x:v>Tidak repeatable</x:v>
      </x:c>
      <x:c r="F21" s="41" t="str">
        <x:v>Turun lalu naik kembali; perilaku tidak konsisten dengan run 40 min.</x:v>
      </x:c>
    </x:row>
  </x:sheetData>
  <x:mergeCells>
    <x:mergeCell ref="A1:J1"/>
    <x:mergeCell ref="A2:J2"/>
    <x:mergeCell ref="B4:F4"/>
    <x:mergeCell ref="B5:F5"/>
    <x:mergeCell ref="B6:F6"/>
    <x:mergeCell ref="B7:F7"/>
    <x:mergeCell ref="B8:F8"/>
    <x:mergeCell ref="B9:F9"/>
    <x:mergeCell ref="A11:J12"/>
  </x:mergeCells>
  <x:conditionalFormatting sqref="D15:D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1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  <x:col min="11" max="11" width="45" hidden="0" customWidth="1"/>
  </x:cols>
  <x:sheetData>
    <x:row r="1">
      <x:c r="A1" s="4" t="str">
        <x:v>Uji Duty Cycle Terkontrol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Setiap run valid direkam setelah baseline dingin. Delta dihitung otomatis: rata-rata 5 menit akhir dikurangi rata-rata 5 menit awal.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>
      <x:c r="A4" s="14" t="str">
        <x:v>Run</x:v>
      </x:c>
      <x:c r="B4" s="14" t="str">
        <x:v>Perintah UNO</x:v>
      </x:c>
      <x:c r="C4" s="14" t="str">
        <x:v>Duty</x:v>
      </x:c>
      <x:c r="D4" s="14" t="str">
        <x:v>Durasi (min)</x:v>
      </x:c>
      <x:c r="E4" s="14" t="str">
        <x:v>Awal 5m (mV)</x:v>
      </x:c>
      <x:c r="F4" s="14" t="str">
        <x:v>Akhir 5m (mV)</x:v>
      </x:c>
      <x:c r="G4" s="14" t="str">
        <x:v>Δ 5m (mV)</x:v>
      </x:c>
      <x:c r="H4" s="14" t="str">
        <x:v>P2P (mV)</x:v>
      </x:c>
      <x:c r="I4" s="14" t="str">
        <x:v>Slope akhir (mV/min)</x:v>
      </x:c>
      <x:c r="J4" s="14" t="str">
        <x:v>Status</x:v>
      </x:c>
      <x:c r="K4" s="14" t="str">
        <x:v>Interpretasi</x:v>
      </x:c>
    </x:row>
    <x:row r="5">
      <x:c r="A5" s="33" t="str">
        <x:v>OFF</x:v>
      </x:c>
      <x:c r="B5" s="34" t="str">
        <x:v>0,1000</x:v>
      </x:c>
      <x:c r="C5" s="62" t="n">
        <x:v>0</x:v>
      </x:c>
      <x:c r="D5" s="65" t="n">
        <x:v>15</x:v>
      </x:c>
      <x:c r="E5" s="65" t="n">
        <x:v>-1.132</x:v>
      </x:c>
      <x:c r="F5" s="65" t="n">
        <x:v>-1.147</x:v>
      </x:c>
      <x:c r="G5" s="65" t="n">
        <x:f>F5-E5</x:f>
        <x:v>-0.015000000000000124</x:v>
      </x:c>
      <x:c r="H5" s="65" t="n">
        <x:v>0.368</x:v>
      </x:c>
      <x:c r="I5" s="65" t="n">
        <x:v>-0.004</x:v>
      </x:c>
      <x:c r="J5" s="34" t="str">
        <x:v>Tidak ada respons</x:v>
      </x:c>
      <x:c r="K5" s="35" t="str">
        <x:v>Baseline dingin; pembanding.</x:v>
      </x:c>
    </x:row>
    <x:row r="6">
      <x:c r="A6" s="36" t="str">
        <x:v>12.5%</x:v>
      </x:c>
      <x:c r="B6" s="37" t="str">
        <x:v>125,875</x:v>
      </x:c>
      <x:c r="C6" s="63" t="n">
        <x:v>0.125</x:v>
      </x:c>
      <x:c r="D6" s="66" t="n">
        <x:v>40</x:v>
      </x:c>
      <x:c r="E6" s="66" t="n">
        <x:v>-1.133</x:v>
      </x:c>
      <x:c r="F6" s="66" t="n">
        <x:v>-1.163</x:v>
      </x:c>
      <x:c r="G6" s="66" t="n">
        <x:f>F6-E6</x:f>
        <x:v>-0.030000000000000027</x:v>
      </x:c>
      <x:c r="H6" s="66" t="n">
        <x:v>0.475</x:v>
      </x:c>
      <x:c r="I6" s="66" t="n">
        <x:v>-0.004</x:v>
      </x:c>
      <x:c r="J6" s="37" t="str">
        <x:v>Tidak ada respons</x:v>
      </x:c>
      <x:c r="K6" s="38" t="str">
        <x:v>Setara baseline dingin dalam rentang noise.</x:v>
      </x:c>
    </x:row>
    <x:row r="7">
      <x:c r="A7" s="36" t="str">
        <x:v>25%</x:v>
      </x:c>
      <x:c r="B7" s="37" t="str">
        <x:v>250,750</x:v>
      </x:c>
      <x:c r="C7" s="63" t="n">
        <x:v>0.25</x:v>
      </x:c>
      <x:c r="D7" s="66" t="n">
        <x:v>40</x:v>
      </x:c>
      <x:c r="E7" s="66" t="n">
        <x:v>-1.144</x:v>
      </x:c>
      <x:c r="F7" s="66" t="n">
        <x:v>-1.128</x:v>
      </x:c>
      <x:c r="G7" s="66" t="n">
        <x:f>F7-E7</x:f>
        <x:v>0.016000000000000014</x:v>
      </x:c>
      <x:c r="H7" s="66" t="n">
        <x:v>0.426</x:v>
      </x:c>
      <x:c r="I7" s="66" t="n">
        <x:v>0.004</x:v>
      </x:c>
      <x:c r="J7" s="37" t="str">
        <x:v>Tidak ada respons</x:v>
      </x:c>
      <x:c r="K7" s="38" t="str">
        <x:v>Setara baseline dingin dalam rentang noise.</x:v>
      </x:c>
    </x:row>
    <x:row r="8">
      <x:c r="A8" s="36" t="str">
        <x:v>37.5%</x:v>
      </x:c>
      <x:c r="B8" s="37" t="str">
        <x:v>375,625</x:v>
      </x:c>
      <x:c r="C8" s="63" t="n">
        <x:v>0.375</x:v>
      </x:c>
      <x:c r="D8" s="66" t="n">
        <x:v>40</x:v>
      </x:c>
      <x:c r="E8" s="66" t="n">
        <x:v>108.671</x:v>
      </x:c>
      <x:c r="F8" s="66" t="n">
        <x:v>126.391</x:v>
      </x:c>
      <x:c r="G8" s="66" t="n">
        <x:f>F8-E8</x:f>
        <x:v>17.72</x:v>
      </x:c>
      <x:c r="H8" s="66" t="n">
        <x:v>130.025</x:v>
      </x:c>
      <x:c r="I8" s="66" t="n">
        <x:v>-0.278</x:v>
      </x:c>
      <x:c r="J8" s="37" t="str">
        <x:v>Respons kuat</x:v>
      </x:c>
      <x:c r="K8" s="38" t="str">
        <x:v>Band lokal sekitar 124–126 mV; perlu pengulangan dingin.</x:v>
      </x:c>
    </x:row>
    <x:row r="9">
      <x:c r="A9" s="36" t="str">
        <x:v>50%</x:v>
      </x:c>
      <x:c r="B9" s="37" t="str">
        <x:v>500,500</x:v>
      </x:c>
      <x:c r="C9" s="63" t="n">
        <x:v>0.5</x:v>
      </x:c>
      <x:c r="D9" s="66" t="n">
        <x:v>40</x:v>
      </x:c>
      <x:c r="E9" s="66" t="n">
        <x:v>233.049</x:v>
      </x:c>
      <x:c r="F9" s="66" t="n">
        <x:v>234.007</x:v>
      </x:c>
      <x:c r="G9" s="66" t="n">
        <x:f>F9-E9</x:f>
        <x:v>0.9579999999999984</x:v>
      </x:c>
      <x:c r="H9" s="66" t="n">
        <x:v>289.816</x:v>
      </x:c>
      <x:c r="I9" s="66" t="n">
        <x:v>-0.017</x:v>
      </x:c>
      <x:c r="J9" s="37" t="str">
        <x:v>Respons kuat</x:v>
      </x:c>
      <x:c r="K9" s="38" t="str">
        <x:v>Band lokal sekitar 225–234 mV; ada drift ringan setelah 30 menit.</x:v>
      </x:c>
    </x:row>
    <x:row r="10">
      <x:c r="A10" s="36" t="str">
        <x:v>100% / 40 min</x:v>
      </x:c>
      <x:c r="B10" s="37" t="str">
        <x:v>1000,0</x:v>
      </x:c>
      <x:c r="C10" s="63" t="n">
        <x:v>1</x:v>
      </x:c>
      <x:c r="D10" s="66" t="n">
        <x:v>40</x:v>
      </x:c>
      <x:c r="E10" s="66" t="n">
        <x:v>226.216</x:v>
      </x:c>
      <x:c r="F10" s="66" t="n">
        <x:v>6.399</x:v>
      </x:c>
      <x:c r="G10" s="66" t="n">
        <x:f>F10-E10</x:f>
        <x:v>-219.817</x:v>
      </x:c>
      <x:c r="H10" s="66" t="n">
        <x:v>434.082</x:v>
      </x:c>
      <x:c r="I10" s="66" t="n">
        <x:v>-0.523</x:v>
      </x:c>
      <x:c r="J10" s="37" t="str">
        <x:v>Belum plateau</x:v>
      </x:c>
      <x:c r="K10" s="38" t="str">
        <x:v>Terus turun hingga akhir rekaman; bukan plateau stabil.</x:v>
      </x:c>
    </x:row>
    <x:row r="11">
      <x:c r="A11" s="39" t="str">
        <x:v>100% / 60 min</x:v>
      </x:c>
      <x:c r="B11" s="40" t="str">
        <x:v>1000,0</x:v>
      </x:c>
      <x:c r="C11" s="64" t="n">
        <x:v>1</x:v>
      </x:c>
      <x:c r="D11" s="67" t="n">
        <x:v>60</x:v>
      </x:c>
      <x:c r="E11" s="67" t="n">
        <x:v>38.446</x:v>
      </x:c>
      <x:c r="F11" s="67" t="n">
        <x:v>20.762</x:v>
      </x:c>
      <x:c r="G11" s="67" t="n">
        <x:f>F11-E11</x:f>
        <x:v>-17.683999999999997</x:v>
      </x:c>
      <x:c r="H11" s="67" t="n">
        <x:v>79.513</x:v>
      </x:c>
      <x:c r="I11" s="67" t="n">
        <x:v>0.381</x:v>
      </x:c>
      <x:c r="J11" s="40" t="str">
        <x:v>Tidak repeatable</x:v>
      </x:c>
      <x:c r="K11" s="41" t="str">
        <x:v>Turun lalu naik kembali; perilaku tidak konsisten dengan run 40 min.</x:v>
      </x:c>
    </x:row>
    <x:row r="14">
      <x:c r="A14" s="68" t="str">
        <x:v>Sumber raw valid</x:v>
      </x:c>
      <x:c r="B14" s="68" t="str"/>
      <x:c r="C14" s="68" t="str"/>
      <x:c r="D14" s="68" t="str"/>
      <x:c r="E14" s="68" t="str"/>
      <x:c r="F14" s="68" t="str"/>
      <x:c r="G14" s="68" t="str"/>
      <x:c r="H14" s="68" t="str"/>
      <x:c r="I14" s="68" t="str"/>
      <x:c r="J14" s="68" t="str"/>
      <x:c r="K14" s="68" t="str"/>
    </x:row>
    <x:row r="15">
      <x:c r="A15" s="33" t="str">
        <x:v>heater/raw/02_ON125_OFF875_HEATING_20260729_170716.csv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5"/>
    </x:row>
    <x:row r="16">
      <x:c r="A16" s="36" t="str">
        <x:v>heater/raw/04_ON250_OFF750_HEATING_20260729_180309.csv</x:v>
      </x:c>
      <x:c r="B16" s="37"/>
      <x:c r="C16" s="37"/>
      <x:c r="D16" s="37"/>
      <x:c r="E16" s="37"/>
      <x:c r="F16" s="37"/>
      <x:c r="G16" s="37"/>
      <x:c r="H16" s="37"/>
      <x:c r="I16" s="37"/>
      <x:c r="J16" s="37"/>
      <x:c r="K16" s="38"/>
    </x:row>
    <x:row r="17">
      <x:c r="A17" s="36" t="str">
        <x:v>heater/raw/08_ON375_OFF625_HEATING_RETRY_20260729_195308.csv</x:v>
      </x:c>
      <x:c r="B17" s="37"/>
      <x:c r="C17" s="37"/>
      <x:c r="D17" s="37"/>
      <x:c r="E17" s="37"/>
      <x:c r="F17" s="37"/>
      <x:c r="G17" s="37"/>
      <x:c r="H17" s="37"/>
      <x:c r="I17" s="37"/>
      <x:c r="J17" s="37"/>
      <x:c r="K17" s="38"/>
    </x:row>
    <x:row r="18">
      <x:c r="A18" s="36" t="str">
        <x:v>heater/raw/10_ON500_OFF500_HEATING_20260729_204855.csv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8"/>
    </x:row>
    <x:row r="19">
      <x:c r="A19" s="36" t="str">
        <x:v>heater/raw/13_ON1000_OFF0_HEATING_20260729_220745.csv</x:v>
      </x:c>
      <x:c r="B19" s="37"/>
      <x:c r="C19" s="37"/>
      <x:c r="D19" s="37"/>
      <x:c r="E19" s="37"/>
      <x:c r="F19" s="37"/>
      <x:c r="G19" s="37"/>
      <x:c r="H19" s="37"/>
      <x:c r="I19" s="37"/>
      <x:c r="J19" s="37"/>
      <x:c r="K19" s="38"/>
    </x:row>
    <x:row r="20">
      <x:c r="A20" s="39" t="str">
        <x:v>heater/raw/15_ON1000_OFF0_HEATING_60MIN_20260729_230351.csv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41"/>
    </x:row>
  </x:sheetData>
  <x:mergeCells>
    <x:mergeCell ref="A1:K1"/>
    <x:mergeCell ref="A2:K2"/>
    <x:mergeCell ref="A14:K14"/>
    <x:mergeCell ref="A15:K15"/>
    <x:mergeCell ref="A16:K16"/>
    <x:mergeCell ref="A17:K17"/>
    <x:mergeCell ref="A18:K18"/>
    <x:mergeCell ref="A19:K19"/>
    <x:mergeCell ref="A20:K20"/>
  </x:mergeCells>
  <x:conditionalFormatting sqref="G5:G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5" hidden="0" customWidth="1"/>
    <x:col min="5" max="5" width="13" hidden="0" customWidth="1"/>
    <x:col min="6" max="6" width="32" hidden="0" customWidth="1"/>
    <x:col min="7" max="7" width="12" hidden="0" customWidth="1"/>
  </x:cols>
  <x:sheetData>
    <x:row r="1">
      <x:c r="A1" s="4" t="str">
        <x:v>Validasi Cooldown</x:v>
      </x:c>
      <x:c r="B1" s="4"/>
      <x:c r="C1" s="4"/>
      <x:c r="D1" s="4"/>
      <x:c r="E1" s="4"/>
      <x:c r="F1" s="4"/>
      <x:c r="G1" s="4"/>
    </x:row>
    <x:row r="2">
      <x:c r="A2" s="8" t="str">
        <x:v>Tujuan: memastikan pembacaan MQ8 kembali dekat ke baseline saat IO8 LOW. Semua file valid menunjukkan nilai dingin sekitar -1.1 mV.</x:v>
      </x:c>
      <x:c r="B2" s="8"/>
      <x:c r="C2" s="8"/>
      <x:c r="D2" s="8"/>
      <x:c r="E2" s="8"/>
      <x:c r="F2" s="8"/>
      <x:c r="G2" s="8"/>
    </x:row>
    <x:row r="4">
      <x:c r="A4" s="14" t="str">
        <x:v>Duty sebelumnya</x:v>
      </x:c>
      <x:c r="B4" s="14" t="str">
        <x:v>Awal 5m (mV)</x:v>
      </x:c>
      <x:c r="C4" s="14" t="str">
        <x:v>Akhir 5m (mV)</x:v>
      </x:c>
      <x:c r="D4" s="14" t="str">
        <x:v>Δ 5m (mV)</x:v>
      </x:c>
      <x:c r="E4" s="14" t="str">
        <x:v>P2P (mV)</x:v>
      </x:c>
      <x:c r="F4" s="14" t="str">
        <x:v>Kesimpulan</x:v>
      </x:c>
      <x:c r="G4" s="14" t="str">
        <x:v>Status</x:v>
      </x:c>
    </x:row>
    <x:row r="5">
      <x:c r="A5" s="33" t="str">
        <x:v>12.5%</x:v>
      </x:c>
      <x:c r="B5" s="69" t="n">
        <x:v>-1.1444</x:v>
      </x:c>
      <x:c r="C5" s="69" t="n">
        <x:v>-1.1511</x:v>
      </x:c>
      <x:c r="D5" s="69" t="n">
        <x:v>-0.0067</x:v>
      </x:c>
      <x:c r="E5" s="69" t="n">
        <x:v>0.4008</x:v>
      </x:c>
      <x:c r="F5" s="34" t="str">
        <x:v>Kembali ke baseline dingin</x:v>
      </x:c>
      <x:c r="G5" s="35" t="str">
        <x:v>Valid</x:v>
      </x:c>
    </x:row>
    <x:row r="6">
      <x:c r="A6" s="36" t="str">
        <x:v>25%</x:v>
      </x:c>
      <x:c r="B6" s="70" t="n">
        <x:v>-1.1086</x:v>
      </x:c>
      <x:c r="C6" s="70" t="n">
        <x:v>-1.103</x:v>
      </x:c>
      <x:c r="D6" s="70" t="n">
        <x:v>0.0056</x:v>
      </x:c>
      <x:c r="E6" s="70" t="n">
        <x:v>0.2916</x:v>
      </x:c>
      <x:c r="F6" s="37" t="str">
        <x:v>Kembali ke baseline dingin</x:v>
      </x:c>
      <x:c r="G6" s="38" t="str">
        <x:v>Valid</x:v>
      </x:c>
    </x:row>
    <x:row r="7">
      <x:c r="A7" s="36" t="str">
        <x:v>37.5%</x:v>
      </x:c>
      <x:c r="B7" s="70" t="n">
        <x:v>-1.0982</x:v>
      </x:c>
      <x:c r="C7" s="70" t="n">
        <x:v>-1.0969</x:v>
      </x:c>
      <x:c r="D7" s="70" t="n">
        <x:v>0.0013</x:v>
      </x:c>
      <x:c r="E7" s="70" t="n">
        <x:v>0.3219</x:v>
      </x:c>
      <x:c r="F7" s="37" t="str">
        <x:v>Kembali ke baseline dingin</x:v>
      </x:c>
      <x:c r="G7" s="38" t="str">
        <x:v>Valid</x:v>
      </x:c>
    </x:row>
    <x:row r="8">
      <x:c r="A8" s="36" t="str">
        <x:v>50%</x:v>
      </x:c>
      <x:c r="B8" s="70" t="n">
        <x:v>-1.1091</x:v>
      </x:c>
      <x:c r="C8" s="70" t="n">
        <x:v>-1.1277</x:v>
      </x:c>
      <x:c r="D8" s="70" t="n">
        <x:v>-0.0187</x:v>
      </x:c>
      <x:c r="E8" s="70" t="n">
        <x:v>0.4133</x:v>
      </x:c>
      <x:c r="F8" s="37" t="str">
        <x:v>Kembali ke baseline dingin</x:v>
      </x:c>
      <x:c r="G8" s="38" t="str">
        <x:v>Valid</x:v>
      </x:c>
    </x:row>
    <x:row r="9">
      <x:c r="A9" s="39" t="str">
        <x:v>100%</x:v>
      </x:c>
      <x:c r="B9" s="71" t="n">
        <x:v>-1.1119</x:v>
      </x:c>
      <x:c r="C9" s="71" t="n">
        <x:v>-1.0952</x:v>
      </x:c>
      <x:c r="D9" s="71" t="n">
        <x:v>0.0166</x:v>
      </x:c>
      <x:c r="E9" s="71" t="n">
        <x:v>0.4444</x:v>
      </x:c>
      <x:c r="F9" s="40" t="str">
        <x:v>Kembali ke baseline dingin</x:v>
      </x:c>
      <x:c r="G9" s="41" t="str">
        <x:v>Valid</x:v>
      </x:c>
    </x:row>
    <x:row r="12">
      <x:c r="A12" s="85" t="str">
        <x:v>Kesimpulan: cooldown rata-rata sama-sama kembali dekat baseline, sehingga perbedaan besar saat duty 37.5%/50% bukan sekadar offset yang menetap setelah pemanasan. Namun ini belum menggantikan kalibrasi sensor atau pengujian gas terkontrol.</x:v>
      </x:c>
      <x:c r="B12" s="86"/>
      <x:c r="C12" s="86"/>
      <x:c r="D12" s="86"/>
      <x:c r="E12" s="86"/>
      <x:c r="F12" s="86"/>
      <x:c r="G12" s="87"/>
    </x:row>
    <x:row r="13">
      <x:c r="A13" s="88"/>
      <x:c r="B13" s="89"/>
      <x:c r="C13" s="89"/>
      <x:c r="D13" s="89"/>
      <x:c r="E13" s="89"/>
      <x:c r="F13" s="89"/>
      <x:c r="G13" s="90"/>
    </x:row>
  </x:sheetData>
  <x:mergeCells>
    <x:mergeCell ref="A1:G1"/>
    <x:mergeCell ref="A2:G2"/>
    <x:mergeCell ref="A12:G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4" hidden="0" customWidth="1"/>
  </x:cols>
  <x:sheetData>
    <x:row r="1">
      <x:c r="A1" s="4" t="str">
        <x:v>Trend Rata-rata per Menit</x:v>
      </x:c>
      <x:c r="B1" s="4"/>
      <x:c r="C1" s="4"/>
      <x:c r="D1" s="4"/>
      <x:c r="E1" s="4"/>
      <x:c r="F1" s="4"/>
    </x:row>
    <x:row r="2">
      <x:c r="A2" s="8" t="str">
        <x:v>Ringkasan trend dari run valid. Dipakai untuk membaca bentuk respons, bukan sebagai model suhu/heater absolut.</x:v>
      </x:c>
      <x:c r="B2" s="8"/>
      <x:c r="C2" s="8"/>
      <x:c r="D2" s="8"/>
      <x:c r="E2" s="8"/>
      <x:c r="F2" s="8"/>
    </x:row>
    <x:row r="4">
      <x:c r="A4" s="14" t="str">
        <x:v>Menit</x:v>
      </x:c>
      <x:c r="B4" s="14" t="str">
        <x:v>37.5% (mV)</x:v>
      </x:c>
      <x:c r="C4" s="14" t="str">
        <x:v>50% (mV)</x:v>
      </x:c>
      <x:c r="D4" s="14" t="str">
        <x:v>100% / 40m (mV)</x:v>
      </x:c>
      <x:c r="E4" s="14" t="str">
        <x:v>100% / 60m (mV)</x:v>
      </x:c>
    </x:row>
    <x:row r="5">
      <x:c r="A5" s="91" t="n">
        <x:v>0</x:v>
      </x:c>
      <x:c r="B5" s="65" t="n">
        <x:v>46.77</x:v>
      </x:c>
      <x:c r="C5" s="65" t="n">
        <x:v>171.54</x:v>
      </x:c>
      <x:c r="D5" s="65" t="n">
        <x:v>324.88</x:v>
      </x:c>
      <x:c r="E5" s="92" t="n">
        <x:v>44.385</x:v>
      </x:c>
    </x:row>
    <x:row r="6">
      <x:c r="A6" s="93" t="n">
        <x:v>5</x:v>
      </x:c>
      <x:c r="B6" s="66" t="n">
        <x:v>124.6</x:v>
      </x:c>
      <x:c r="C6" s="66" t="n">
        <x:v>231.96</x:v>
      </x:c>
      <x:c r="D6" s="66" t="n">
        <x:v>95.3</x:v>
      </x:c>
      <x:c r="E6" s="94" t="n">
        <x:v>16.562</x:v>
      </x:c>
    </x:row>
    <x:row r="7">
      <x:c r="A7" s="93" t="n">
        <x:v>10</x:v>
      </x:c>
      <x:c r="B7" s="66" t="n">
        <x:v>123.92</x:v>
      </x:c>
      <x:c r="C7" s="66" t="n">
        <x:v>225.41</x:v>
      </x:c>
      <x:c r="D7" s="66" t="n">
        <x:v>46.65</x:v>
      </x:c>
      <x:c r="E7" s="94" t="n">
        <x:v>6.105</x:v>
      </x:c>
    </x:row>
    <x:row r="8">
      <x:c r="A8" s="93" t="n">
        <x:v>15</x:v>
      </x:c>
      <x:c r="B8" s="66" t="n">
        <x:v>123.14</x:v>
      </x:c>
      <x:c r="C8" s="66" t="n">
        <x:v>225.43</x:v>
      </x:c>
      <x:c r="D8" s="66" t="n">
        <x:v>26.04</x:v>
      </x:c>
      <x:c r="E8" s="94" t="n">
        <x:v>4.053</x:v>
      </x:c>
    </x:row>
    <x:row r="9">
      <x:c r="A9" s="93" t="n">
        <x:v>20</x:v>
      </x:c>
      <x:c r="B9" s="66" t="n">
        <x:v>123.46</x:v>
      </x:c>
      <x:c r="C9" s="66" t="n">
        <x:v>226.09</x:v>
      </x:c>
      <x:c r="D9" s="66" t="n">
        <x:v>19.55</x:v>
      </x:c>
      <x:c r="E9" s="94" t="n">
        <x:v>2.975</x:v>
      </x:c>
    </x:row>
    <x:row r="10">
      <x:c r="A10" s="93" t="n">
        <x:v>25</x:v>
      </x:c>
      <x:c r="B10" s="66" t="n">
        <x:v>124.47</x:v>
      </x:c>
      <x:c r="C10" s="66" t="n">
        <x:v>226.25</x:v>
      </x:c>
      <x:c r="D10" s="66" t="n">
        <x:v>13.18</x:v>
      </x:c>
      <x:c r="E10" s="94" t="n">
        <x:v>11.674</x:v>
      </x:c>
    </x:row>
    <x:row r="11">
      <x:c r="A11" s="93" t="n">
        <x:v>30</x:v>
      </x:c>
      <x:c r="B11" s="66" t="n">
        <x:v>125.78</x:v>
      </x:c>
      <x:c r="C11" s="66" t="n">
        <x:v>228.76</x:v>
      </x:c>
      <x:c r="D11" s="66" t="n">
        <x:v>9.85</x:v>
      </x:c>
      <x:c r="E11" s="94" t="n">
        <x:v>11.563</x:v>
      </x:c>
    </x:row>
    <x:row r="12">
      <x:c r="A12" s="93" t="n">
        <x:v>35</x:v>
      </x:c>
      <x:c r="B12" s="66" t="n">
        <x:v>126.42</x:v>
      </x:c>
      <x:c r="C12" s="66" t="n">
        <x:v>233.78</x:v>
      </x:c>
      <x:c r="D12" s="66" t="n">
        <x:v>7.02</x:v>
      </x:c>
      <x:c r="E12" s="94" t="n">
        <x:v>14.529</x:v>
      </x:c>
    </x:row>
    <x:row r="13">
      <x:c r="A13" s="93" t="n">
        <x:v>40</x:v>
      </x:c>
      <x:c r="B13" s="66"/>
      <x:c r="C13" s="66"/>
      <x:c r="D13" s="66"/>
      <x:c r="E13" s="94" t="n">
        <x:v>13.708</x:v>
      </x:c>
    </x:row>
    <x:row r="14">
      <x:c r="A14" s="93" t="n">
        <x:v>45</x:v>
      </x:c>
      <x:c r="B14" s="66"/>
      <x:c r="C14" s="66"/>
      <x:c r="D14" s="66"/>
      <x:c r="E14" s="94" t="n">
        <x:v>14.458</x:v>
      </x:c>
    </x:row>
    <x:row r="15">
      <x:c r="A15" s="93" t="n">
        <x:v>50</x:v>
      </x:c>
      <x:c r="B15" s="66"/>
      <x:c r="C15" s="66"/>
      <x:c r="D15" s="66"/>
      <x:c r="E15" s="94" t="n">
        <x:v>16.947</x:v>
      </x:c>
    </x:row>
    <x:row r="16">
      <x:c r="A16" s="95" t="n">
        <x:v>55</x:v>
      </x:c>
      <x:c r="B16" s="67"/>
      <x:c r="C16" s="67"/>
      <x:c r="D16" s="67"/>
      <x:c r="E16" s="96" t="n">
        <x:v>20.07</x:v>
      </x:c>
    </x:row>
    <x:row r="19">
      <x:c r="A19" s="116" t="str">
        <x:v>Pembacaan chart: 37.5% dan 50% naik cepat lalu membentuk band lokal. Dua run 100% bergerak berbeda, sehingga belum ada dasar untuk menyebut 100% sebagai plateau repeatable.</x:v>
      </x:c>
      <x:c r="B19" s="117"/>
      <x:c r="C19" s="117"/>
      <x:c r="D19" s="117"/>
      <x:c r="E19" s="117"/>
      <x:c r="F19" s="118"/>
    </x:row>
    <x:row r="20">
      <x:c r="A20" s="119"/>
      <x:c r="B20" s="120"/>
      <x:c r="C20" s="120"/>
      <x:c r="D20" s="120"/>
      <x:c r="E20" s="120"/>
      <x:c r="F20" s="121"/>
    </x:row>
    <x:row r="21">
      <x:c r="A21" s="122"/>
      <x:c r="B21" s="123"/>
      <x:c r="C21" s="123"/>
      <x:c r="D21" s="123"/>
      <x:c r="E21" s="123"/>
      <x:c r="F21" s="124"/>
    </x:row>
  </x:sheetData>
  <x:mergeCells>
    <x:mergeCell ref="A1:F1"/>
    <x:mergeCell ref="A2:F2"/>
    <x:mergeCell ref="A19:F21"/>
  </x:mergeCells>
  <x:pageMargins left="0.7" right="0.7" top="0.75" bottom="0.75" header="0.3" footer="0.3"/>
  <x:drawing xmlns:r="http://schemas.openxmlformats.org/officeDocument/2006/relationships" r:id="R287ebe57ce734ac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43" hidden="0" customWidth="1"/>
    <x:col min="5" max="5" width="4" hidden="0" customWidth="1"/>
    <x:col min="6" max="6" width="15" hidden="0" customWidth="1"/>
    <x:col min="7" max="7" width="15" hidden="0" customWidth="1"/>
  </x:cols>
  <x:sheetData>
    <x:row r="1">
      <x:c r="A1" s="4" t="str">
        <x:v>Run 100% Tambahan — Data Pengguna</x:v>
      </x:c>
      <x:c r="B1" s="4"/>
      <x:c r="C1" s="4"/>
      <x:c r="D1" s="4"/>
      <x:c r="E1" s="4"/>
      <x:c r="F1" s="4"/>
      <x:c r="G1" s="4"/>
    </x:row>
    <x:row r="2">
      <x:c r="A2" s="8" t="str">
        <x:v>Sumber: C:/Users/MSI/Downloads/ON1000OFF0_2.csv. Durasi 13.216 menit; fokus pada indikasi plateau, bukan pembandingan antar-run.</x:v>
      </x:c>
      <x:c r="B2" s="8"/>
      <x:c r="C2" s="8"/>
      <x:c r="D2" s="8"/>
      <x:c r="E2" s="8"/>
      <x:c r="F2" s="8"/>
      <x:c r="G2" s="8"/>
    </x:row>
    <x:row r="4">
      <x:c r="A4" s="14" t="str">
        <x:v>Menit</x:v>
      </x:c>
      <x:c r="B4" s="14" t="str">
        <x:v>Rata-rata bin 30s (mV)</x:v>
      </x:c>
      <x:c r="C4" s="14" t="str">
        <x:v>Rentang bin 30s (mV)</x:v>
      </x:c>
      <x:c r="D4" s="14" t="str">
        <x:v>Interpretasi</x:v>
      </x:c>
    </x:row>
    <x:row r="5">
      <x:c r="A5" s="91" t="n">
        <x:v>0</x:v>
      </x:c>
      <x:c r="B5" s="65" t="n">
        <x:v>-1.014</x:v>
      </x:c>
      <x:c r="C5" s="65" t="n">
        <x:v>0.165</x:v>
      </x:c>
      <x:c r="D5" s="35" t="str">
        <x:v>Masih menurun</x:v>
      </x:c>
    </x:row>
    <x:row r="6">
      <x:c r="A6" s="93" t="n">
        <x:v>0.5</x:v>
      </x:c>
      <x:c r="B6" s="66" t="n">
        <x:v>77.131</x:v>
      </x:c>
      <x:c r="C6" s="66" t="n">
        <x:v>101.37</x:v>
      </x:c>
      <x:c r="D6" s="38" t="str">
        <x:v>Masih menurun</x:v>
      </x:c>
    </x:row>
    <x:row r="7">
      <x:c r="A7" s="93" t="n">
        <x:v>1</x:v>
      </x:c>
      <x:c r="B7" s="66" t="n">
        <x:v>81.927</x:v>
      </x:c>
      <x:c r="C7" s="66" t="n">
        <x:v>22.334</x:v>
      </x:c>
      <x:c r="D7" s="38" t="str">
        <x:v>Masih menurun</x:v>
      </x:c>
    </x:row>
    <x:row r="8">
      <x:c r="A8" s="93" t="n">
        <x:v>1.5</x:v>
      </x:c>
      <x:c r="B8" s="66" t="n">
        <x:v>69.376</x:v>
      </x:c>
      <x:c r="C8" s="66" t="n">
        <x:v>10.604</x:v>
      </x:c>
      <x:c r="D8" s="38" t="str">
        <x:v>Masih menurun</x:v>
      </x:c>
    </x:row>
    <x:row r="9">
      <x:c r="A9" s="93" t="n">
        <x:v>2</x:v>
      </x:c>
      <x:c r="B9" s="66" t="n">
        <x:v>58.911</x:v>
      </x:c>
      <x:c r="C9" s="66" t="n">
        <x:v>9.798</x:v>
      </x:c>
      <x:c r="D9" s="38" t="str">
        <x:v>Masih menurun</x:v>
      </x:c>
    </x:row>
    <x:row r="10">
      <x:c r="A10" s="93" t="n">
        <x:v>2.5</x:v>
      </x:c>
      <x:c r="B10" s="66" t="n">
        <x:v>50.104</x:v>
      </x:c>
      <x:c r="C10" s="66" t="n">
        <x:v>9.207</x:v>
      </x:c>
      <x:c r="D10" s="38" t="str">
        <x:v>Masih menurun</x:v>
      </x:c>
    </x:row>
    <x:row r="11">
      <x:c r="A11" s="93" t="n">
        <x:v>3</x:v>
      </x:c>
      <x:c r="B11" s="66" t="n">
        <x:v>42.282</x:v>
      </x:c>
      <x:c r="C11" s="66" t="n">
        <x:v>6.193</x:v>
      </x:c>
      <x:c r="D11" s="38" t="str">
        <x:v>Masih menurun</x:v>
      </x:c>
    </x:row>
    <x:row r="12">
      <x:c r="A12" s="93" t="n">
        <x:v>3.5</x:v>
      </x:c>
      <x:c r="B12" s="66" t="n">
        <x:v>37.38</x:v>
      </x:c>
      <x:c r="C12" s="66" t="n">
        <x:v>5.769</x:v>
      </x:c>
      <x:c r="D12" s="38" t="str">
        <x:v>Masih menurun</x:v>
      </x:c>
    </x:row>
    <x:row r="13">
      <x:c r="A13" s="93" t="n">
        <x:v>4</x:v>
      </x:c>
      <x:c r="B13" s="66" t="n">
        <x:v>31.087</x:v>
      </x:c>
      <x:c r="C13" s="66" t="n">
        <x:v>6.078</x:v>
      </x:c>
      <x:c r="D13" s="38" t="str">
        <x:v>Masih menurun</x:v>
      </x:c>
    </x:row>
    <x:row r="14">
      <x:c r="A14" s="93" t="n">
        <x:v>4.5</x:v>
      </x:c>
      <x:c r="B14" s="66" t="n">
        <x:v>28.347</x:v>
      </x:c>
      <x:c r="C14" s="66" t="n">
        <x:v>5.27</x:v>
      </x:c>
      <x:c r="D14" s="38" t="str">
        <x:v>Masih menurun</x:v>
      </x:c>
    </x:row>
    <x:row r="15">
      <x:c r="A15" s="93" t="n">
        <x:v>5</x:v>
      </x:c>
      <x:c r="B15" s="66" t="n">
        <x:v>25.574</x:v>
      </x:c>
      <x:c r="C15" s="66" t="n">
        <x:v>3.534</x:v>
      </x:c>
      <x:c r="D15" s="38" t="str">
        <x:v>Masih menurun</x:v>
      </x:c>
    </x:row>
    <x:row r="16">
      <x:c r="A16" s="93" t="n">
        <x:v>5.5</x:v>
      </x:c>
      <x:c r="B16" s="66" t="n">
        <x:v>22.083</x:v>
      </x:c>
      <x:c r="C16" s="66" t="n">
        <x:v>4.692</x:v>
      </x:c>
      <x:c r="D16" s="38" t="str">
        <x:v>Masih menurun</x:v>
      </x:c>
    </x:row>
    <x:row r="17">
      <x:c r="A17" s="93" t="n">
        <x:v>6</x:v>
      </x:c>
      <x:c r="B17" s="66" t="n">
        <x:v>20.242</x:v>
      </x:c>
      <x:c r="C17" s="66" t="n">
        <x:v>5.178</x:v>
      </x:c>
      <x:c r="D17" s="38" t="str">
        <x:v>Masih menurun</x:v>
      </x:c>
    </x:row>
    <x:row r="18">
      <x:c r="A18" s="93" t="n">
        <x:v>6.5</x:v>
      </x:c>
      <x:c r="B18" s="66" t="n">
        <x:v>17.519</x:v>
      </x:c>
      <x:c r="C18" s="66" t="n">
        <x:v>6.37</x:v>
      </x:c>
      <x:c r="D18" s="38" t="str">
        <x:v>Masih menurun</x:v>
      </x:c>
    </x:row>
    <x:row r="19">
      <x:c r="A19" s="93" t="n">
        <x:v>7</x:v>
      </x:c>
      <x:c r="B19" s="66" t="n">
        <x:v>16.958</x:v>
      </x:c>
      <x:c r="C19" s="66" t="n">
        <x:v>4.878</x:v>
      </x:c>
      <x:c r="D19" s="38" t="str">
        <x:v>Masih menurun</x:v>
      </x:c>
    </x:row>
    <x:row r="20">
      <x:c r="A20" s="93" t="n">
        <x:v>7.5</x:v>
      </x:c>
      <x:c r="B20" s="66" t="n">
        <x:v>16.674</x:v>
      </x:c>
      <x:c r="C20" s="66" t="n">
        <x:v>7.186</x:v>
      </x:c>
      <x:c r="D20" s="38" t="str">
        <x:v>Masih menurun</x:v>
      </x:c>
    </x:row>
    <x:row r="21">
      <x:c r="A21" s="93" t="n">
        <x:v>8</x:v>
      </x:c>
      <x:c r="B21" s="66" t="n">
        <x:v>15.308</x:v>
      </x:c>
      <x:c r="C21" s="66" t="n">
        <x:v>5.903</x:v>
      </x:c>
      <x:c r="D21" s="38" t="str">
        <x:v>Masih menurun</x:v>
      </x:c>
    </x:row>
    <x:row r="22">
      <x:c r="A22" s="93" t="n">
        <x:v>8.5</x:v>
      </x:c>
      <x:c r="B22" s="66" t="n">
        <x:v>15.809</x:v>
      </x:c>
      <x:c r="C22" s="66" t="n">
        <x:v>5.027</x:v>
      </x:c>
      <x:c r="D22" s="38" t="str">
        <x:v>Masih menurun</x:v>
      </x:c>
    </x:row>
    <x:row r="23">
      <x:c r="A23" s="93" t="n">
        <x:v>9</x:v>
      </x:c>
      <x:c r="B23" s="66" t="n">
        <x:v>13.721</x:v>
      </x:c>
      <x:c r="C23" s="66" t="n">
        <x:v>7.17</x:v>
      </x:c>
      <x:c r="D23" s="38" t="str">
        <x:v>Masih menurun</x:v>
      </x:c>
    </x:row>
    <x:row r="24">
      <x:c r="A24" s="93" t="n">
        <x:v>9.5</x:v>
      </x:c>
      <x:c r="B24" s="66" t="n">
        <x:v>13.274</x:v>
      </x:c>
      <x:c r="C24" s="66" t="n">
        <x:v>6.206</x:v>
      </x:c>
      <x:c r="D24" s="38" t="str">
        <x:v>Masih menurun</x:v>
      </x:c>
    </x:row>
    <x:row r="25">
      <x:c r="A25" s="93" t="n">
        <x:v>10</x:v>
      </x:c>
      <x:c r="B25" s="66" t="n">
        <x:v>11.547</x:v>
      </x:c>
      <x:c r="C25" s="66" t="n">
        <x:v>8.255</x:v>
      </x:c>
      <x:c r="D25" s="38" t="str">
        <x:v>Mulai masuk band sempit; belum konfirmasi plateau</x:v>
      </x:c>
    </x:row>
    <x:row r="26">
      <x:c r="A26" s="93" t="n">
        <x:v>10.5</x:v>
      </x:c>
      <x:c r="B26" s="66" t="n">
        <x:v>10.98</x:v>
      </x:c>
      <x:c r="C26" s="66" t="n">
        <x:v>6.914</x:v>
      </x:c>
      <x:c r="D26" s="38" t="str">
        <x:v>Mulai masuk band sempit; belum konfirmasi plateau</x:v>
      </x:c>
    </x:row>
    <x:row r="27">
      <x:c r="A27" s="93" t="n">
        <x:v>11</x:v>
      </x:c>
      <x:c r="B27" s="66" t="n">
        <x:v>10.828</x:v>
      </x:c>
      <x:c r="C27" s="66" t="n">
        <x:v>5.733</x:v>
      </x:c>
      <x:c r="D27" s="38" t="str">
        <x:v>Mulai masuk band sempit; belum konfirmasi plateau</x:v>
      </x:c>
    </x:row>
    <x:row r="28">
      <x:c r="A28" s="93" t="n">
        <x:v>11.5</x:v>
      </x:c>
      <x:c r="B28" s="66" t="n">
        <x:v>10.178</x:v>
      </x:c>
      <x:c r="C28" s="66" t="n">
        <x:v>5.961</x:v>
      </x:c>
      <x:c r="D28" s="38" t="str">
        <x:v>Mulai masuk band sempit; belum konfirmasi plateau</x:v>
      </x:c>
    </x:row>
    <x:row r="29">
      <x:c r="A29" s="93" t="n">
        <x:v>12</x:v>
      </x:c>
      <x:c r="B29" s="66" t="n">
        <x:v>11.532</x:v>
      </x:c>
      <x:c r="C29" s="66" t="n">
        <x:v>3.785</x:v>
      </x:c>
      <x:c r="D29" s="38" t="str">
        <x:v>Mulai masuk band sempit; belum konfirmasi plateau</x:v>
      </x:c>
    </x:row>
    <x:row r="30">
      <x:c r="A30" s="93" t="n">
        <x:v>12.5</x:v>
      </x:c>
      <x:c r="B30" s="66" t="n">
        <x:v>12.942</x:v>
      </x:c>
      <x:c r="C30" s="66" t="n">
        <x:v>5.378</x:v>
      </x:c>
      <x:c r="D30" s="38" t="str">
        <x:v>Mulai masuk band sempit; belum konfirmasi plateau</x:v>
      </x:c>
    </x:row>
    <x:row r="31">
      <x:c r="A31" s="95" t="n">
        <x:v>13</x:v>
      </x:c>
      <x:c r="B31" s="67" t="n">
        <x:v>11.591</x:v>
      </x:c>
      <x:c r="C31" s="67" t="n">
        <x:v>5.925</x:v>
      </x:c>
      <x:c r="D31" s="41" t="str">
        <x:v>Mulai masuk band sempit; belum konfirmasi plateau</x:v>
      </x:c>
    </x:row>
    <x:row r="34">
      <x:c r="A34" s="56" t="str">
        <x:v>Kesimpulan run ini: respons mulai memasuki band yang lebih sempit sekitar menit ke-10, tetapi data berhenti pada 13.2 menit. Empat bin terakhir masih membentang 2.764 mV; plateau stabil belum dapat dikonfirmasi. Rekam hingga sedikitnya 17–20 menit bila mengulang run ini.</x:v>
      </x:c>
      <x:c r="B34" s="57"/>
      <x:c r="C34" s="57"/>
      <x:c r="D34" s="57"/>
      <x:c r="E34" s="57"/>
      <x:c r="F34" s="57"/>
      <x:c r="G34" s="58"/>
    </x:row>
    <x:row r="35">
      <x:c r="A35" s="130"/>
      <x:c r="B35" s="131"/>
      <x:c r="C35" s="131"/>
      <x:c r="D35" s="131"/>
      <x:c r="E35" s="131"/>
      <x:c r="F35" s="131"/>
      <x:c r="G35" s="132"/>
    </x:row>
    <x:row r="36">
      <x:c r="A36" s="59"/>
      <x:c r="B36" s="60"/>
      <x:c r="C36" s="60"/>
      <x:c r="D36" s="60"/>
      <x:c r="E36" s="60"/>
      <x:c r="F36" s="60"/>
      <x:c r="G36" s="61"/>
    </x:row>
  </x:sheetData>
  <x:mergeCells>
    <x:mergeCell ref="A1:G1"/>
    <x:mergeCell ref="A2:G2"/>
    <x:mergeCell ref="A34:G36"/>
  </x:mergeCells>
  <x:pageMargins left="0.7" right="0.7" top="0.75" bottom="0.75" header="0.3" footer="0.3"/>
  <x:drawing xmlns:r="http://schemas.openxmlformats.org/officeDocument/2006/relationships" r:id="R3229aff56f7e4cb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>
      <x:c r="A1" s="4" t="str">
        <x:v>Referensi Lama dan Warm-up</x:v>
      </x:c>
      <x:c r="B1" s="4"/>
      <x:c r="C1" s="4"/>
      <x:c r="D1" s="4"/>
      <x:c r="E1" s="4"/>
      <x:c r="F1" s="4"/>
    </x:row>
    <x:row r="2">
      <x:c r="A2" s="8" t="str">
        <x:v>Data ini bersifat pendukung saja karena run lama tidak mengikuti cold-reset terkendali yang sama.</x:v>
      </x:c>
      <x:c r="B2" s="8"/>
      <x:c r="C2" s="8"/>
      <x:c r="D2" s="8"/>
      <x:c r="E2" s="8"/>
      <x:c r="F2" s="8"/>
    </x:row>
    <x:row r="4">
      <x:c r="A4" s="14" t="str">
        <x:v>Duty</x:v>
      </x:c>
      <x:c r="B4" s="14" t="str">
        <x:v>Durasi (min)</x:v>
      </x:c>
      <x:c r="C4" s="14" t="str">
        <x:v>Awal (mV)</x:v>
      </x:c>
      <x:c r="D4" s="14" t="str">
        <x:v>Akhir (mV)</x:v>
      </x:c>
      <x:c r="E4" s="14" t="str">
        <x:v>P2P (mV)</x:v>
      </x:c>
      <x:c r="F4" s="14" t="str">
        <x:v>Catatan</x:v>
      </x:c>
    </x:row>
    <x:row r="5">
      <x:c r="A5" s="33" t="str">
        <x:v>12.5%</x:v>
      </x:c>
      <x:c r="B5" s="65" t="n">
        <x:v>5.57</x:v>
      </x:c>
      <x:c r="C5" s="65" t="n">
        <x:v>-1.063</x:v>
      </x:c>
      <x:c r="D5" s="65" t="n">
        <x:v>-1.053</x:v>
      </x:c>
      <x:c r="E5" s="65" t="n">
        <x:v>0.411</x:v>
      </x:c>
      <x:c r="F5" s="35" t="str">
        <x:v>Bukan cold-reset; jangan dipakai sebagai penetapan final.</x:v>
      </x:c>
    </x:row>
    <x:row r="6">
      <x:c r="A6" s="36" t="str">
        <x:v>25%</x:v>
      </x:c>
      <x:c r="B6" s="66" t="n">
        <x:v>6.91</x:v>
      </x:c>
      <x:c r="C6" s="66" t="n">
        <x:v>-1.012</x:v>
      </x:c>
      <x:c r="D6" s="66" t="n">
        <x:v>-1.041</x:v>
      </x:c>
      <x:c r="E6" s="66" t="n">
        <x:v>0.372</x:v>
      </x:c>
      <x:c r="F6" s="38" t="str">
        <x:v>Bukan cold-reset; jangan dipakai sebagai penetapan final.</x:v>
      </x:c>
    </x:row>
    <x:row r="7">
      <x:c r="A7" s="36" t="str">
        <x:v>37.5%</x:v>
      </x:c>
      <x:c r="B7" s="66" t="n">
        <x:v>5.03</x:v>
      </x:c>
      <x:c r="C7" s="66" t="n">
        <x:v>-1.072</x:v>
      </x:c>
      <x:c r="D7" s="66" t="n">
        <x:v>-1.071</x:v>
      </x:c>
      <x:c r="E7" s="66" t="n">
        <x:v>0.359</x:v>
      </x:c>
      <x:c r="F7" s="38" t="str">
        <x:v>Bukan cold-reset; jangan dipakai sebagai penetapan final.</x:v>
      </x:c>
    </x:row>
    <x:row r="8">
      <x:c r="A8" s="36" t="str">
        <x:v>50%</x:v>
      </x:c>
      <x:c r="B8" s="66" t="n">
        <x:v>5.87</x:v>
      </x:c>
      <x:c r="C8" s="66" t="n">
        <x:v>96.28</x:v>
      </x:c>
      <x:c r="D8" s="66" t="n">
        <x:v>99.544</x:v>
      </x:c>
      <x:c r="E8" s="66" t="n">
        <x:v>117.82</x:v>
      </x:c>
      <x:c r="F8" s="38" t="str">
        <x:v>Bukan cold-reset; jangan dipakai sebagai penetapan final.</x:v>
      </x:c>
    </x:row>
    <x:row r="9">
      <x:c r="A9" s="39" t="str">
        <x:v>62.5%</x:v>
      </x:c>
      <x:c r="B9" s="67" t="n">
        <x:v>5.51</x:v>
      </x:c>
      <x:c r="C9" s="67" t="n">
        <x:v>181.632</x:v>
      </x:c>
      <x:c r="D9" s="67" t="n">
        <x:v>194.51</x:v>
      </x:c>
      <x:c r="E9" s="67" t="n">
        <x:v>221.782</x:v>
      </x:c>
      <x:c r="F9" s="41" t="str">
        <x:v>Bukan cold-reset; jangan dipakai sebagai penetapan final.</x:v>
      </x:c>
    </x:row>
    <x:row r="12">
      <x:c r="A12" s="139" t="str">
        <x:v>Referensi warm-up historis: WarmupBaru3 menunjukkan indikasi band lokal sekitar 12–15 menit (rekaman berhenti 17 menit); Warmup3 mencapai perilaku lebih tenang sekitar menit ke-21. Karena antar-run MQ tidak sepenuhnya repeatable, aturan operasional sementara 15–20 menit lebih aman daripada mengunci satu angka sempit.</x:v>
      </x:c>
      <x:c r="B12" s="140"/>
      <x:c r="C12" s="140"/>
      <x:c r="D12" s="140"/>
      <x:c r="E12" s="140"/>
      <x:c r="F12" s="141"/>
    </x:row>
  </x:sheetData>
  <x:mergeCells>
    <x:mergeCell ref="A1:F1"/>
    <x:mergeCell ref="A2:F2"/>
    <x:mergeCell ref="A12:F12"/>
  </x:mergeCells>
  <x:pageMargins left="0.7" right="0.7" top="0.75" bottom="0.75" header="0.3" footer="0.3"/>
</x:worksheet>
</file>