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42a8cbf5c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ftar Kebutuhan" sheetId="1" r:id="R379cdfe15e9c4189"/>
    <x:sheet xmlns:r="http://schemas.openxmlformats.org/officeDocument/2006/relationships" name="Petunjuk" sheetId="2" r:id="Rfe625c214faa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name val="Arial"/>
    </x:font>
    <x:font>
      <x:i/>
      <x:sz val="10"/>
      <x:color rgb="FF5B4A00"/>
      <x:name val="Arial"/>
    </x:font>
    <x:font>
      <x:sz val="10"/>
      <x:color rgb="FF1F2937"/>
      <x:name val="Arial"/>
    </x:font>
    <x:font>
      <x:b/>
      <x:sz val="11"/>
      <x:name val="Arial"/>
    </x:font>
    <x:font>
      <x:i/>
      <x:sz val="9"/>
      <x:color rgb="FF4B5563"/>
      <x:name val="Arial"/>
    </x:font>
    <x:font>
      <x:b/>
      <x:sz val="11"/>
      <x:color rgb="FF9C000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65468990742ef" /><Relationship Type="http://schemas.openxmlformats.org/officeDocument/2006/relationships/theme" Target="/xl/theme/theme1.xml" Id="R7931d2a995954e05" /><Relationship Type="http://schemas.openxmlformats.org/officeDocument/2006/relationships/sharedStrings" Target="/xl/sharedStrings.xml" Id="Rb21b5e71365e4149" /><Relationship Type="http://schemas.openxmlformats.org/officeDocument/2006/relationships/worksheet" Target="/xl/worksheets/sheet1.xml" Id="R379cdfe15e9c4189" /><Relationship Type="http://schemas.openxmlformats.org/officeDocument/2006/relationships/worksheet" Target="/xl/worksheets/sheet2.xml" Id="Rfe625c214faa4961" /></Relationships>
</file>

<file path=xl/tables/table1.xml><?xml version="1.0" encoding="utf-8"?>
<x:table xmlns:x="http://schemas.openxmlformats.org/spreadsheetml/2006/main" id="1" name="KebutuhanUtilitas" displayName="KebutuhanUtilitas" ref="A13:K75" headerRowCount="1" totalsRowCount="0" totalsRowShown="0">
  <x:tableColumns count="11">
    <x:tableColumn id="1" name="No."/>
    <x:tableColumn id="2" name="Komponen"/>
    <x:tableColumn id="3" name="Kategori"/>
    <x:tableColumn id="4" name="Kebutuhan / Utilitas"/>
    <x:tableColumn id="5" name="Detail yang dipetakan saat survei"/>
    <x:tableColumn id="6" name="Jumlah"/>
    <x:tableColumn id="7" name="Satuan"/>
    <x:tableColumn id="8" name="Ketersediaan"/>
    <x:tableColumn id="9" name="PIC"/>
    <x:tableColumn id="10" name="Status Survei"/>
    <x:tableColumn id="11" name="Catatan lokasi / tindak lanju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tunjukPengisian" displayName="PetunjukPengisian" ref="A4:B9" headerRowCount="1" totalsRowCount="0" totalsRowShown="0">
  <x:tableColumns count="2">
    <x:tableColumn id="1" name="Kolom"/>
    <x:tableColumn id="2" name="Cara i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41c7f191cb45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2638d4c3bf40f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13" topLeftCell="E14" activePane="bottomRight" state="frozen"/>
    </x:sheetView>
  </x:sheetViews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30" hidden="0" customWidth="1"/>
    <x:col min="5" max="5" width="42" hidden="0" customWidth="1"/>
    <x:col min="6" max="6" width="10" hidden="0" customWidth="1"/>
    <x:col min="7" max="7" width="12" hidden="0" customWidth="1"/>
    <x:col min="8" max="8" width="20" hidden="0" customWidth="1"/>
    <x:col min="9" max="9" width="20" hidden="0" customWidth="1"/>
    <x:col min="10" max="10" width="20" hidden="0" customWidth="1"/>
    <x:col min="11" max="11" width="34" hidden="0" customWidth="1"/>
    <x:col min="13" max="13" width="42" hidden="0" customWidth="1"/>
  </x:cols>
  <x:sheetData>
    <x:row r="2">
      <x:c r="A2" s="1" t="str">
        <x:v>Daftar Kebutuhan Utilitas dan Survei SRU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M2" s="18" t="str">
        <x:v>Sumber / batasan</x:v>
      </x:c>
    </x:row>
    <x:row r="3" ht="42" customHeight="1">
      <x:c r="A3" s="2" t="str">
        <x:v>Cakupan: Server, Gateway (GW), Cluster Head (CH), dan Gas Leak Detector (GLD)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M3" s="20" t="str">
        <x:v>Daftar rekomendasi untuk mapping survei. Konfirmasi final kebutuhan utilitas, klasifikasi area, dan persetujuan instalasi oleh SRU/IT/HSE.</x:v>
      </x:c>
    </x:row>
    <x:row r="4" ht="42" customHeight="1">
      <x:c r="M4" s="20" t="str">
        <x:v>Referensi teknis: docs/design/server/final_design.md; docs/design/ch-gw/final_design.md; firmware/versions/version.md.</x:v>
      </x:c>
    </x:row>
    <x:row r="5" ht="32" customHeight="1">
      <x:c r="A5" s="5" t="str">
        <x:v>Ringkasan</x:v>
      </x:c>
      <x:c r="B5" s="5" t="str">
        <x:v>Jumlah</x:v>
      </x:c>
      <x:c r="D5" s="12" t="str">
        <x:v>Isian berwarna kuning diperbarui dari hasil survei. Kolom jumlah, ketersediaan, PIC, status, dan catatan disiapkan untuk diisi tim.</x:v>
      </x:c>
      <x:c r="E5" s="12"/>
      <x:c r="F5" s="12"/>
      <x:c r="G5" s="12"/>
      <x:c r="H5" s="12"/>
      <x:c r="I5" s="12"/>
      <x:c r="J5" s="12"/>
      <x:c r="K5" s="12"/>
    </x:row>
    <x:row r="6">
      <x:c r="A6" s="6" t="str">
        <x:v>Total item</x:v>
      </x:c>
      <x:c r="B6" s="8" t="n">
        <x:f>COUNTA(A14:A200)</x:f>
        <x:v>62</x:v>
      </x:c>
    </x:row>
    <x:row r="7">
      <x:c r="A7" s="6" t="str">
        <x:v>Server</x:v>
      </x:c>
      <x:c r="B7" s="8" t="n">
        <x:f>COUNTIF(B14:B200,"Server")</x:f>
        <x:v>16</x:v>
      </x:c>
    </x:row>
    <x:row r="8">
      <x:c r="A8" s="6" t="str">
        <x:v>Gateway</x:v>
      </x:c>
      <x:c r="B8" s="8" t="n">
        <x:f>COUNTIF(B14:B200,"Gateway")</x:f>
        <x:v>14</x:v>
      </x:c>
    </x:row>
    <x:row r="9">
      <x:c r="A9" s="6" t="str">
        <x:v>Cluster Head</x:v>
      </x:c>
      <x:c r="B9" s="8" t="n">
        <x:f>COUNTIF(B14:B200,"Cluster Head")</x:f>
        <x:v>13</x:v>
      </x:c>
    </x:row>
    <x:row r="10">
      <x:c r="A10" s="6" t="str">
        <x:v>GLD</x:v>
      </x:c>
      <x:c r="B10" s="8" t="n">
        <x:f>COUNTIF(B14:B200,"GLD")</x:f>
        <x:v>14</x:v>
      </x:c>
    </x:row>
    <x:row r="13">
      <x:c r="A13" t="str">
        <x:v>No.</x:v>
      </x:c>
      <x:c r="B13" t="str">
        <x:v>Komponen</x:v>
      </x:c>
      <x:c r="C13" t="str">
        <x:v>Kategori</x:v>
      </x:c>
      <x:c r="D13" t="str">
        <x:v>Kebutuhan / Utilitas</x:v>
      </x:c>
      <x:c r="E13" t="str">
        <x:v>Detail yang dipetakan saat survei</x:v>
      </x:c>
      <x:c r="F13" t="str">
        <x:v>Jumlah</x:v>
      </x:c>
      <x:c r="G13" t="str">
        <x:v>Satuan</x:v>
      </x:c>
      <x:c r="H13" t="str">
        <x:v>Ketersediaan</x:v>
      </x:c>
      <x:c r="I13" t="str">
        <x:v>PIC</x:v>
      </x:c>
      <x:c r="J13" t="str">
        <x:v>Status Survei</x:v>
      </x:c>
      <x:c r="K13" t="str">
        <x:v>Catatan lokasi / tindak lanjut</x:v>
      </x:c>
    </x:row>
    <x:row r="14" ht="34" customHeight="1">
      <x:c r="A14" s="13" t="str">
        <x:v>1.1​</x:v>
      </x:c>
      <x:c r="B14" s="13" t="str">
        <x:v>Server</x:v>
      </x:c>
      <x:c r="C14" s="13" t="str">
        <x:v>Infrastruktur</x:v>
      </x:c>
      <x:c r="D14" s="13" t="str">
        <x:v>Server fisik atau VM</x:v>
      </x:c>
      <x:c r="E14" s="14" t="str">
        <x:v>Host aplikasi operasional</x:v>
      </x:c>
      <x:c r="F14" s="16" t="str"/>
      <x:c r="G14" s="15" t="str">
        <x:v>unit</x:v>
      </x:c>
      <x:c r="H14" s="16" t="str">
        <x:v>Belum dipetakan</x:v>
      </x:c>
      <x:c r="I14" s="16" t="str">
        <x:v>IT</x:v>
      </x:c>
      <x:c r="J14" s="16" t="str">
        <x:v>Belum disurvei</x:v>
      </x:c>
      <x:c r="K14" s="16" t="str"/>
    </x:row>
    <x:row r="15" ht="34" customHeight="1">
      <x:c r="A15" s="13" t="str">
        <x:v>1.2​</x:v>
      </x:c>
      <x:c r="B15" s="13" t="str">
        <x:v>Server</x:v>
      </x:c>
      <x:c r="C15" s="13" t="str">
        <x:v>Utilitas listrik</x:v>
      </x:c>
      <x:c r="D15" s="13" t="str">
        <x:v>Listrik AC 220 V</x:v>
      </x:c>
      <x:c r="E15" s="14" t="str">
        <x:v>Sumber, kapasitas, dan panel asal</x:v>
      </x:c>
      <x:c r="F15" s="16" t="str"/>
      <x:c r="G15" s="15" t="str">
        <x:v>titik</x:v>
      </x:c>
      <x:c r="H15" s="16" t="str">
        <x:v>Belum dipetakan</x:v>
      </x:c>
      <x:c r="I15" s="16" t="str">
        <x:v>Listrik</x:v>
      </x:c>
      <x:c r="J15" s="16" t="str">
        <x:v>Belum disurvei</x:v>
      </x:c>
      <x:c r="K15" s="16" t="str"/>
    </x:row>
    <x:row r="16" ht="34" customHeight="1">
      <x:c r="A16" s="13" t="str">
        <x:v>1.3​</x:v>
      </x:c>
      <x:c r="B16" s="13" t="str">
        <x:v>Server</x:v>
      </x:c>
      <x:c r="C16" s="13" t="str">
        <x:v>Utilitas listrik</x:v>
      </x:c>
      <x:c r="D16" s="13" t="str">
        <x:v>UPS</x:v>
      </x:c>
      <x:c r="E16" s="14" t="str">
        <x:v>Kapasitas dan durasi backup yang diperlukan</x:v>
      </x:c>
      <x:c r="F16" s="16" t="str"/>
      <x:c r="G16" s="15" t="str">
        <x:v>unit</x:v>
      </x:c>
      <x:c r="H16" s="16" t="str">
        <x:v>Belum dipetakan</x:v>
      </x:c>
      <x:c r="I16" s="16" t="str">
        <x:v>IT/Listrik</x:v>
      </x:c>
      <x:c r="J16" s="16" t="str">
        <x:v>Belum disurvei</x:v>
      </x:c>
      <x:c r="K16" s="16" t="str"/>
    </x:row>
    <x:row r="17" ht="34" customHeight="1">
      <x:c r="A17" s="13" t="str">
        <x:v>1.4​</x:v>
      </x:c>
      <x:c r="B17" s="13" t="str">
        <x:v>Server</x:v>
      </x:c>
      <x:c r="C17" s="13" t="str">
        <x:v>Infrastruktur</x:v>
      </x:c>
      <x:c r="D17" s="13" t="str">
        <x:v>Rack atau ruang server</x:v>
      </x:c>
      <x:c r="E17" s="14" t="str">
        <x:v>Lokasi, pendinginan, akses fisik</x:v>
      </x:c>
      <x:c r="F17" s="16" t="str"/>
      <x:c r="G17" s="15" t="str">
        <x:v>lokasi</x:v>
      </x:c>
      <x:c r="H17" s="16" t="str">
        <x:v>Belum dipetakan</x:v>
      </x:c>
      <x:c r="I17" s="16" t="str">
        <x:v>IT</x:v>
      </x:c>
      <x:c r="J17" s="16" t="str">
        <x:v>Belum disurvei</x:v>
      </x:c>
      <x:c r="K17" s="16" t="str"/>
    </x:row>
    <x:row r="18" ht="34" customHeight="1">
      <x:c r="A18" s="13" t="str">
        <x:v>1.5​</x:v>
      </x:c>
      <x:c r="B18" s="13" t="str">
        <x:v>Server</x:v>
      </x:c>
      <x:c r="C18" s="13" t="str">
        <x:v>Jaringan</x:v>
      </x:c>
      <x:c r="D18" s="13" t="str">
        <x:v>Switch LAN dan port jaringan</x:v>
      </x:c>
      <x:c r="E18" s="14" t="str">
        <x:v>Port tersedia dan jalur patch cord</x:v>
      </x:c>
      <x:c r="F18" s="16" t="str"/>
      <x:c r="G18" s="15" t="str">
        <x:v>port</x:v>
      </x:c>
      <x:c r="H18" s="16" t="str">
        <x:v>Belum dipetakan</x:v>
      </x:c>
      <x:c r="I18" s="16" t="str">
        <x:v>IT</x:v>
      </x:c>
      <x:c r="J18" s="16" t="str">
        <x:v>Belum disurvei</x:v>
      </x:c>
      <x:c r="K18" s="16" t="str"/>
    </x:row>
    <x:row r="19" ht="34" customHeight="1">
      <x:c r="A19" s="13" t="str">
        <x:v>1.6​</x:v>
      </x:c>
      <x:c r="B19" s="13" t="str">
        <x:v>Server</x:v>
      </x:c>
      <x:c r="C19" s="13" t="str">
        <x:v>Jaringan</x:v>
      </x:c>
      <x:c r="D19" s="13" t="str">
        <x:v>IP statis / VLAN / subnet</x:v>
      </x:c>
      <x:c r="E19" s="14" t="str">
        <x:v>Alokasi IP, gateway, DNS, dan VLAN</x:v>
      </x:c>
      <x:c r="F19" s="16" t="str"/>
      <x:c r="G19" s="15" t="str">
        <x:v>paket</x:v>
      </x:c>
      <x:c r="H19" s="16" t="str">
        <x:v>Belum dipetakan</x:v>
      </x:c>
      <x:c r="I19" s="16" t="str">
        <x:v>IT</x:v>
      </x:c>
      <x:c r="J19" s="16" t="str">
        <x:v>Belum disurvei</x:v>
      </x:c>
      <x:c r="K19" s="16" t="str"/>
    </x:row>
    <x:row r="20" ht="34" customHeight="1">
      <x:c r="A20" s="13" t="str">
        <x:v>1.7​</x:v>
      </x:c>
      <x:c r="B20" s="13" t="str">
        <x:v>Server</x:v>
      </x:c>
      <x:c r="C20" s="13" t="str">
        <x:v>Jaringan</x:v>
      </x:c>
      <x:c r="D20" s="13" t="str">
        <x:v>Internet atau VPN</x:v>
      </x:c>
      <x:c r="E20" s="14" t="str">
        <x:v>Kebutuhan akses jarak jauh yang disetujui</x:v>
      </x:c>
      <x:c r="F20" s="16" t="str"/>
      <x:c r="G20" s="15" t="str">
        <x:v>layanan</x:v>
      </x:c>
      <x:c r="H20" s="16" t="str">
        <x:v>Belum dipetakan</x:v>
      </x:c>
      <x:c r="I20" s="16" t="str">
        <x:v>IT</x:v>
      </x:c>
      <x:c r="J20" s="16" t="str">
        <x:v>Belum disurvei</x:v>
      </x:c>
      <x:c r="K20" s="16" t="str"/>
    </x:row>
    <x:row r="21" ht="34" customHeight="1">
      <x:c r="A21" s="13" t="str">
        <x:v>1.8​</x:v>
      </x:c>
      <x:c r="B21" s="13" t="str">
        <x:v>Server</x:v>
      </x:c>
      <x:c r="C21" s="13" t="str">
        <x:v>Keamanan jaringan</x:v>
      </x:c>
      <x:c r="D21" s="13" t="str">
        <x:v>Firewall rule</x:v>
      </x:c>
      <x:c r="E21" s="14" t="str">
        <x:v>Akses GW ke broker/server dan port yang diizinkan</x:v>
      </x:c>
      <x:c r="F21" s="16" t="str"/>
      <x:c r="G21" s="15" t="str">
        <x:v>rule</x:v>
      </x:c>
      <x:c r="H21" s="16" t="str">
        <x:v>Belum dipetakan</x:v>
      </x:c>
      <x:c r="I21" s="16" t="str">
        <x:v>IT</x:v>
      </x:c>
      <x:c r="J21" s="16" t="str">
        <x:v>Belum disurvei</x:v>
      </x:c>
      <x:c r="K21" s="16" t="str"/>
    </x:row>
    <x:row r="22" ht="34" customHeight="1">
      <x:c r="A22" s="13" t="str">
        <x:v>1.9​</x:v>
      </x:c>
      <x:c r="B22" s="13" t="str">
        <x:v>Server</x:v>
      </x:c>
      <x:c r="C22" s="13" t="str">
        <x:v>Aplikasi</x:v>
      </x:c>
      <x:c r="D22" s="13" t="str">
        <x:v>MQTT Broker</x:v>
      </x:c>
      <x:c r="E22" s="14" t="str">
        <x:v>Hostname/IP, port, akun, dan kebijakan akses</x:v>
      </x:c>
      <x:c r="F22" s="16" t="str"/>
      <x:c r="G22" s="15" t="str">
        <x:v>layanan</x:v>
      </x:c>
      <x:c r="H22" s="16" t="str">
        <x:v>Belum dipetakan</x:v>
      </x:c>
      <x:c r="I22" s="16" t="str">
        <x:v>IT</x:v>
      </x:c>
      <x:c r="J22" s="16" t="str">
        <x:v>Belum disurvei</x:v>
      </x:c>
      <x:c r="K22" s="16" t="str"/>
    </x:row>
    <x:row r="23" ht="34" customHeight="1">
      <x:c r="A23" s="13" t="str">
        <x:v>1.10​</x:v>
      </x:c>
      <x:c r="B23" s="13" t="str">
        <x:v>Server</x:v>
      </x:c>
      <x:c r="C23" s="13" t="str">
        <x:v>Aplikasi</x:v>
      </x:c>
      <x:c r="D23" s="13" t="str">
        <x:v>Node-RED</x:v>
      </x:c>
      <x:c r="E23" s="14" t="str">
        <x:v>Host, akses administrasi, dan strategi deployment</x:v>
      </x:c>
      <x:c r="F23" s="16" t="str"/>
      <x:c r="G23" s="15" t="str">
        <x:v>layanan</x:v>
      </x:c>
      <x:c r="H23" s="16" t="str">
        <x:v>Belum dipetakan</x:v>
      </x:c>
      <x:c r="I23" s="16" t="str">
        <x:v>IT</x:v>
      </x:c>
      <x:c r="J23" s="16" t="str">
        <x:v>Belum disurvei</x:v>
      </x:c>
      <x:c r="K23" s="16" t="str"/>
    </x:row>
    <x:row r="24" ht="34" customHeight="1">
      <x:c r="A24" s="13" t="str">
        <x:v>1.11​</x:v>
      </x:c>
      <x:c r="B24" s="13" t="str">
        <x:v>Server</x:v>
      </x:c>
      <x:c r="C24" s="13" t="str">
        <x:v>Aplikasi</x:v>
      </x:c>
      <x:c r="D24" s="13" t="str">
        <x:v>Database MySQL</x:v>
      </x:c>
      <x:c r="E24" s="14" t="str">
        <x:v>Host, storage, akun aplikasi, backup</x:v>
      </x:c>
      <x:c r="F24" s="16" t="str"/>
      <x:c r="G24" s="15" t="str">
        <x:v>layanan</x:v>
      </x:c>
      <x:c r="H24" s="16" t="str">
        <x:v>Belum dipetakan</x:v>
      </x:c>
      <x:c r="I24" s="16" t="str">
        <x:v>IT</x:v>
      </x:c>
      <x:c r="J24" s="16" t="str">
        <x:v>Belum disurvei</x:v>
      </x:c>
      <x:c r="K24" s="16" t="str"/>
    </x:row>
    <x:row r="25" ht="34" customHeight="1">
      <x:c r="A25" s="13" t="str">
        <x:v>1.12​</x:v>
      </x:c>
      <x:c r="B25" s="13" t="str">
        <x:v>Server</x:v>
      </x:c>
      <x:c r="C25" s="13" t="str">
        <x:v>Aplikasi</x:v>
      </x:c>
      <x:c r="D25" s="13" t="str">
        <x:v>Storage data dan log</x:v>
      </x:c>
      <x:c r="E25" s="14" t="str">
        <x:v>Kapasitas dan retensi CSV/log</x:v>
      </x:c>
      <x:c r="F25" s="16" t="str"/>
      <x:c r="G25" s="15" t="str">
        <x:v>GB</x:v>
      </x:c>
      <x:c r="H25" s="16" t="str">
        <x:v>Belum dipetakan</x:v>
      </x:c>
      <x:c r="I25" s="16" t="str">
        <x:v>IT</x:v>
      </x:c>
      <x:c r="J25" s="16" t="str">
        <x:v>Belum disurvei</x:v>
      </x:c>
      <x:c r="K25" s="16" t="str"/>
    </x:row>
    <x:row r="26" ht="34" customHeight="1">
      <x:c r="A26" s="13" t="str">
        <x:v>1.13​</x:v>
      </x:c>
      <x:c r="B26" s="13" t="str">
        <x:v>Server</x:v>
      </x:c>
      <x:c r="C26" s="13" t="str">
        <x:v>Operasional</x:v>
      </x:c>
      <x:c r="D26" s="13" t="str">
        <x:v>Backup dan uji restore</x:v>
      </x:c>
      <x:c r="E26" s="14" t="str">
        <x:v>Jadwal, media backup, PIC, bukti uji restore</x:v>
      </x:c>
      <x:c r="F26" s="16" t="str"/>
      <x:c r="G26" s="15" t="str">
        <x:v>prosedur</x:v>
      </x:c>
      <x:c r="H26" s="16" t="str">
        <x:v>Belum dipetakan</x:v>
      </x:c>
      <x:c r="I26" s="16" t="str">
        <x:v>IT</x:v>
      </x:c>
      <x:c r="J26" s="16" t="str">
        <x:v>Belum disurvei</x:v>
      </x:c>
      <x:c r="K26" s="16" t="str"/>
    </x:row>
    <x:row r="27" ht="34" customHeight="1">
      <x:c r="A27" s="13" t="str">
        <x:v>1.14​</x:v>
      </x:c>
      <x:c r="B27" s="13" t="str">
        <x:v>Server</x:v>
      </x:c>
      <x:c r="C27" s="13" t="str">
        <x:v>Jaringan</x:v>
      </x:c>
      <x:c r="D27" s="13" t="str">
        <x:v>NTP / sinkronisasi waktu</x:v>
      </x:c>
      <x:c r="E27" s="14" t="str">
        <x:v>Server waktu yang diizinkan dan jalur akses</x:v>
      </x:c>
      <x:c r="F27" s="16" t="str"/>
      <x:c r="G27" s="15" t="str">
        <x:v>layanan</x:v>
      </x:c>
      <x:c r="H27" s="16" t="str">
        <x:v>Belum dipetakan</x:v>
      </x:c>
      <x:c r="I27" s="16" t="str">
        <x:v>IT</x:v>
      </x:c>
      <x:c r="J27" s="16" t="str">
        <x:v>Belum disurvei</x:v>
      </x:c>
      <x:c r="K27" s="16" t="str"/>
    </x:row>
    <x:row r="28" ht="34" customHeight="1">
      <x:c r="A28" s="13" t="str">
        <x:v>1.15​</x:v>
      </x:c>
      <x:c r="B28" s="13" t="str">
        <x:v>Server</x:v>
      </x:c>
      <x:c r="C28" s="13" t="str">
        <x:v>Keamanan</x:v>
      </x:c>
      <x:c r="D28" s="13" t="str">
        <x:v>Akun admin dan operator</x:v>
      </x:c>
      <x:c r="E28" s="14" t="str">
        <x:v>Role, otorisasi, dan mekanisme pengelolaan akun</x:v>
      </x:c>
      <x:c r="F28" s="16" t="str"/>
      <x:c r="G28" s="15" t="str">
        <x:v>paket</x:v>
      </x:c>
      <x:c r="H28" s="16" t="str">
        <x:v>Belum dipetakan</x:v>
      </x:c>
      <x:c r="I28" s="16" t="str">
        <x:v>IT/Operasi</x:v>
      </x:c>
      <x:c r="J28" s="16" t="str">
        <x:v>Belum disurvei</x:v>
      </x:c>
      <x:c r="K28" s="16" t="str"/>
    </x:row>
    <x:row r="29" ht="34" customHeight="1">
      <x:c r="A29" s="13" t="str">
        <x:v>1.16​</x:v>
      </x:c>
      <x:c r="B29" s="13" t="str">
        <x:v>Server</x:v>
      </x:c>
      <x:c r="C29" s="13" t="str">
        <x:v>Keamanan</x:v>
      </x:c>
      <x:c r="D29" s="13" t="str">
        <x:v>Sertifikat TLS</x:v>
      </x:c>
      <x:c r="E29" s="14" t="str">
        <x:v>CA, masa berlaku, dan PIC pengelola sertifikat</x:v>
      </x:c>
      <x:c r="F29" s="16" t="str"/>
      <x:c r="G29" s="15" t="str">
        <x:v>sertifikat</x:v>
      </x:c>
      <x:c r="H29" s="16" t="str">
        <x:v>Belum dipetakan</x:v>
      </x:c>
      <x:c r="I29" s="16" t="str">
        <x:v>IT</x:v>
      </x:c>
      <x:c r="J29" s="16" t="str">
        <x:v>Belum disurvei</x:v>
      </x:c>
      <x:c r="K29" s="16" t="str"/>
    </x:row>
    <x:row r="30" ht="34" customHeight="1">
      <x:c r="A30" s="13" t="str">
        <x:v>2.1​</x:v>
      </x:c>
      <x:c r="B30" s="13" t="str">
        <x:v>Gateway</x:v>
      </x:c>
      <x:c r="C30" s="13" t="str">
        <x:v>Utilitas listrik</x:v>
      </x:c>
      <x:c r="D30" s="13" t="str">
        <x:v>Sumber listrik Gateway</x:v>
      </x:c>
      <x:c r="E30" s="14" t="str">
        <x:v>Titik sumber, tegangan, dan kapasitas</x:v>
      </x:c>
      <x:c r="F30" s="16" t="str"/>
      <x:c r="G30" s="15" t="str">
        <x:v>titik</x:v>
      </x:c>
      <x:c r="H30" s="16" t="str">
        <x:v>Belum dipetakan</x:v>
      </x:c>
      <x:c r="I30" s="16" t="str">
        <x:v>Listrik</x:v>
      </x:c>
      <x:c r="J30" s="16" t="str">
        <x:v>Belum disurvei</x:v>
      </x:c>
      <x:c r="K30" s="16" t="str"/>
    </x:row>
    <x:row r="31" ht="34" customHeight="1">
      <x:c r="A31" s="13" t="str">
        <x:v>2.2​</x:v>
      </x:c>
      <x:c r="B31" s="13" t="str">
        <x:v>Gateway</x:v>
      </x:c>
      <x:c r="C31" s="13" t="str">
        <x:v>Utilitas listrik</x:v>
      </x:c>
      <x:c r="D31" s="13" t="str">
        <x:v>Power supply / adaptor</x:v>
      </x:c>
      <x:c r="E31" s="14" t="str">
        <x:v>Sesuai spesifikasi unit Gateway</x:v>
      </x:c>
      <x:c r="F31" s="16" t="str"/>
      <x:c r="G31" s="15" t="str">
        <x:v>unit</x:v>
      </x:c>
      <x:c r="H31" s="16" t="str">
        <x:v>Belum dipetakan</x:v>
      </x:c>
      <x:c r="I31" s="16" t="str">
        <x:v>Listrik</x:v>
      </x:c>
      <x:c r="J31" s="16" t="str">
        <x:v>Belum disurvei</x:v>
      </x:c>
      <x:c r="K31" s="16" t="str"/>
    </x:row>
    <x:row r="32" ht="34" customHeight="1">
      <x:c r="A32" s="13" t="str">
        <x:v>2.3​</x:v>
      </x:c>
      <x:c r="B32" s="13" t="str">
        <x:v>Gateway</x:v>
      </x:c>
      <x:c r="C32" s="13" t="str">
        <x:v>Utilitas listrik</x:v>
      </x:c>
      <x:c r="D32" s="13" t="str">
        <x:v>UPS kecil</x:v>
      </x:c>
      <x:c r="E32" s="14" t="str">
        <x:v>Ditentukan dari kebutuhan kontinuitas layanan</x:v>
      </x:c>
      <x:c r="F32" s="16" t="str"/>
      <x:c r="G32" s="15" t="str">
        <x:v>unit</x:v>
      </x:c>
      <x:c r="H32" s="16" t="str">
        <x:v>Belum dipetakan</x:v>
      </x:c>
      <x:c r="I32" s="16" t="str">
        <x:v>Listrik/Operasi</x:v>
      </x:c>
      <x:c r="J32" s="16" t="str">
        <x:v>Belum disurvei</x:v>
      </x:c>
      <x:c r="K32" s="16" t="str"/>
    </x:row>
    <x:row r="33" ht="34" customHeight="1">
      <x:c r="A33" s="13" t="str">
        <x:v>2.4​</x:v>
      </x:c>
      <x:c r="B33" s="13" t="str">
        <x:v>Gateway</x:v>
      </x:c>
      <x:c r="C33" s="13" t="str">
        <x:v>Jaringan</x:v>
      </x:c>
      <x:c r="D33" s="13" t="str">
        <x:v>Ethernet atau Wi-Fi perusahaan</x:v>
      </x:c>
      <x:c r="E33" s="14" t="str">
        <x:v>Media koneksi yang tersedia di titik GW</x:v>
      </x:c>
      <x:c r="F33" s="16" t="str"/>
      <x:c r="G33" s="15" t="str">
        <x:v>titik</x:v>
      </x:c>
      <x:c r="H33" s="16" t="str">
        <x:v>Belum dipetakan</x:v>
      </x:c>
      <x:c r="I33" s="16" t="str">
        <x:v>IT</x:v>
      </x:c>
      <x:c r="J33" s="16" t="str">
        <x:v>Belum disurvei</x:v>
      </x:c>
      <x:c r="K33" s="16" t="str"/>
    </x:row>
    <x:row r="34" ht="34" customHeight="1">
      <x:c r="A34" s="13" t="str">
        <x:v>2.5​</x:v>
      </x:c>
      <x:c r="B34" s="13" t="str">
        <x:v>Gateway</x:v>
      </x:c>
      <x:c r="C34" s="13" t="str">
        <x:v>Jaringan</x:v>
      </x:c>
      <x:c r="D34" s="13" t="str">
        <x:v>IP, gateway, DNS, VLAN</x:v>
      </x:c>
      <x:c r="E34" s="14" t="str">
        <x:v>Data provisioning jaringan Gateway</x:v>
      </x:c>
      <x:c r="F34" s="16" t="str"/>
      <x:c r="G34" s="15" t="str">
        <x:v>paket</x:v>
      </x:c>
      <x:c r="H34" s="16" t="str">
        <x:v>Belum dipetakan</x:v>
      </x:c>
      <x:c r="I34" s="16" t="str">
        <x:v>IT</x:v>
      </x:c>
      <x:c r="J34" s="16" t="str">
        <x:v>Belum disurvei</x:v>
      </x:c>
      <x:c r="K34" s="16" t="str"/>
    </x:row>
    <x:row r="35" ht="34" customHeight="1">
      <x:c r="A35" s="13" t="str">
        <x:v>2.6​</x:v>
      </x:c>
      <x:c r="B35" s="13" t="str">
        <x:v>Gateway</x:v>
      </x:c>
      <x:c r="C35" s="13" t="str">
        <x:v>Jaringan</x:v>
      </x:c>
      <x:c r="D35" s="13" t="str">
        <x:v>Akses ke MQTT Broker dan Server</x:v>
      </x:c>
      <x:c r="E35" s="14" t="str">
        <x:v>Hostname/IP, port, firewall, TLS bila digunakan</x:v>
      </x:c>
      <x:c r="F35" s="16" t="str"/>
      <x:c r="G35" s="15" t="str">
        <x:v>rule</x:v>
      </x:c>
      <x:c r="H35" s="16" t="str">
        <x:v>Belum dipetakan</x:v>
      </x:c>
      <x:c r="I35" s="16" t="str">
        <x:v>IT</x:v>
      </x:c>
      <x:c r="J35" s="16" t="str">
        <x:v>Belum disurvei</x:v>
      </x:c>
      <x:c r="K35" s="16" t="str"/>
    </x:row>
    <x:row r="36" ht="34" customHeight="1">
      <x:c r="A36" s="13" t="str">
        <x:v>2.7​</x:v>
      </x:c>
      <x:c r="B36" s="13" t="str">
        <x:v>Gateway</x:v>
      </x:c>
      <x:c r="C36" s="13" t="str">
        <x:v>Radio</x:v>
      </x:c>
      <x:c r="D36" s="13" t="str">
        <x:v>Antena LoRa eksternal</x:v>
      </x:c>
      <x:c r="E36" s="14" t="str">
        <x:v>Jenis, gain, konektor, dan posisi pemasangan</x:v>
      </x:c>
      <x:c r="F36" s="16" t="str"/>
      <x:c r="G36" s="15" t="str">
        <x:v>unit</x:v>
      </x:c>
      <x:c r="H36" s="16" t="str">
        <x:v>Belum dipetakan</x:v>
      </x:c>
      <x:c r="I36" s="16" t="str">
        <x:v>Instrument</x:v>
      </x:c>
      <x:c r="J36" s="16" t="str">
        <x:v>Belum disurvei</x:v>
      </x:c>
      <x:c r="K36" s="16" t="str"/>
    </x:row>
    <x:row r="37" ht="34" customHeight="1">
      <x:c r="A37" s="13" t="str">
        <x:v>2.8​</x:v>
      </x:c>
      <x:c r="B37" s="13" t="str">
        <x:v>Gateway</x:v>
      </x:c>
      <x:c r="C37" s="13" t="str">
        <x:v>Radio</x:v>
      </x:c>
      <x:c r="D37" s="13" t="str">
        <x:v>Kabel coax dan konektor RF</x:v>
      </x:c>
      <x:c r="E37" s="14" t="str">
        <x:v>Panjang jalur, tipe kabel, konektor, proteksi</x:v>
      </x:c>
      <x:c r="F37" s="16" t="str"/>
      <x:c r="G37" s="15" t="str">
        <x:v>set</x:v>
      </x:c>
      <x:c r="H37" s="16" t="str">
        <x:v>Belum dipetakan</x:v>
      </x:c>
      <x:c r="I37" s="16" t="str">
        <x:v>Instrument</x:v>
      </x:c>
      <x:c r="J37" s="16" t="str">
        <x:v>Belum disurvei</x:v>
      </x:c>
      <x:c r="K37" s="16" t="str"/>
    </x:row>
    <x:row r="38" ht="34" customHeight="1">
      <x:c r="A38" s="13" t="str">
        <x:v>2.9​</x:v>
      </x:c>
      <x:c r="B38" s="13" t="str">
        <x:v>Gateway</x:v>
      </x:c>
      <x:c r="C38" s="13" t="str">
        <x:v>Mekanik</x:v>
      </x:c>
      <x:c r="D38" s="13" t="str">
        <x:v>Pole/bracket antena</x:v>
      </x:c>
      <x:c r="E38" s="14" t="str">
        <x:v>Tinggi, orientasi, serta kekuatan mounting</x:v>
      </x:c>
      <x:c r="F38" s="16" t="str"/>
      <x:c r="G38" s="15" t="str">
        <x:v>set</x:v>
      </x:c>
      <x:c r="H38" s="16" t="str">
        <x:v>Belum dipetakan</x:v>
      </x:c>
      <x:c r="I38" s="16" t="str">
        <x:v>Sipil/Instrument</x:v>
      </x:c>
      <x:c r="J38" s="16" t="str">
        <x:v>Belum disurvei</x:v>
      </x:c>
      <x:c r="K38" s="16" t="str"/>
    </x:row>
    <x:row r="39" ht="34" customHeight="1">
      <x:c r="A39" s="13" t="str">
        <x:v>2.10​</x:v>
      </x:c>
      <x:c r="B39" s="13" t="str">
        <x:v>Gateway</x:v>
      </x:c>
      <x:c r="C39" s="13" t="str">
        <x:v>Mekanik</x:v>
      </x:c>
      <x:c r="D39" s="13" t="str">
        <x:v>Enclosure atau panel Gateway</x:v>
      </x:c>
      <x:c r="E39" s="14" t="str">
        <x:v>Indoor/outdoor, IP rating sesuai area, akses servis</x:v>
      </x:c>
      <x:c r="F39" s="16" t="str"/>
      <x:c r="G39" s="15" t="str">
        <x:v>unit</x:v>
      </x:c>
      <x:c r="H39" s="16" t="str">
        <x:v>Belum dipetakan</x:v>
      </x:c>
      <x:c r="I39" s="16" t="str">
        <x:v>Instrument</x:v>
      </x:c>
      <x:c r="J39" s="16" t="str">
        <x:v>Belum disurvei</x:v>
      </x:c>
      <x:c r="K39" s="16" t="str"/>
    </x:row>
    <x:row r="40" ht="34" customHeight="1">
      <x:c r="A40" s="13" t="str">
        <x:v>2.11​</x:v>
      </x:c>
      <x:c r="B40" s="13" t="str">
        <x:v>Gateway</x:v>
      </x:c>
      <x:c r="C40" s="13" t="str">
        <x:v>Proteksi</x:v>
      </x:c>
      <x:c r="D40" s="13" t="str">
        <x:v>Grounding</x:v>
      </x:c>
      <x:c r="E40" s="14" t="str">
        <x:v>Titik grounding dan kontinuitas grounding</x:v>
      </x:c>
      <x:c r="F40" s="16" t="str"/>
      <x:c r="G40" s="15" t="str">
        <x:v>titik</x:v>
      </x:c>
      <x:c r="H40" s="16" t="str">
        <x:v>Belum dipetakan</x:v>
      </x:c>
      <x:c r="I40" s="16" t="str">
        <x:v>Listrik</x:v>
      </x:c>
      <x:c r="J40" s="16" t="str">
        <x:v>Belum disurvei</x:v>
      </x:c>
      <x:c r="K40" s="16" t="str"/>
    </x:row>
    <x:row r="41" ht="34" customHeight="1">
      <x:c r="A41" s="13" t="str">
        <x:v>2.12​</x:v>
      </x:c>
      <x:c r="B41" s="13" t="str">
        <x:v>Gateway</x:v>
      </x:c>
      <x:c r="C41" s="13" t="str">
        <x:v>Proteksi</x:v>
      </x:c>
      <x:c r="D41" s="13" t="str">
        <x:v>Surge / proteksi petir</x:v>
      </x:c>
      <x:c r="E41" s="14" t="str">
        <x:v>Proteksi suplai dan antena sesuai desain lokasi</x:v>
      </x:c>
      <x:c r="F41" s="16" t="str"/>
      <x:c r="G41" s="15" t="str">
        <x:v>set</x:v>
      </x:c>
      <x:c r="H41" s="16" t="str">
        <x:v>Belum dipetakan</x:v>
      </x:c>
      <x:c r="I41" s="16" t="str">
        <x:v>Listrik/Instrument</x:v>
      </x:c>
      <x:c r="J41" s="16" t="str">
        <x:v>Belum disurvei</x:v>
      </x:c>
      <x:c r="K41" s="16" t="str"/>
    </x:row>
    <x:row r="42" ht="34" customHeight="1">
      <x:c r="A42" s="13" t="str">
        <x:v>2.13​</x:v>
      </x:c>
      <x:c r="B42" s="13" t="str">
        <x:v>Gateway</x:v>
      </x:c>
      <x:c r="C42" s="13" t="str">
        <x:v>Operasional</x:v>
      </x:c>
      <x:c r="D42" s="13" t="str">
        <x:v>Akses commissioning dan maintenance</x:v>
      </x:c>
      <x:c r="E42" s="14" t="str">
        <x:v>Akses fisik, izin, dan PIC area</x:v>
      </x:c>
      <x:c r="F42" s="16" t="str"/>
      <x:c r="G42" s="15" t="str">
        <x:v>lokasi</x:v>
      </x:c>
      <x:c r="H42" s="16" t="str">
        <x:v>Belum dipetakan</x:v>
      </x:c>
      <x:c r="I42" s="16" t="str">
        <x:v>Operasi</x:v>
      </x:c>
      <x:c r="J42" s="16" t="str">
        <x:v>Belum disurvei</x:v>
      </x:c>
      <x:c r="K42" s="16" t="str"/>
    </x:row>
    <x:row r="43" ht="34" customHeight="1">
      <x:c r="A43" s="13" t="str">
        <x:v>2.14​</x:v>
      </x:c>
      <x:c r="B43" s="13" t="str">
        <x:v>Gateway</x:v>
      </x:c>
      <x:c r="C43" s="13" t="str">
        <x:v>Radio</x:v>
      </x:c>
      <x:c r="D43" s="13" t="str">
        <x:v>Survei lokasi antena</x:v>
      </x:c>
      <x:c r="E43" s="14" t="str">
        <x:v>Tinggi, halangan, kualitas link, dan foto titik</x:v>
      </x:c>
      <x:c r="F43" s="16" t="str"/>
      <x:c r="G43" s="15" t="str">
        <x:v>kegiatan</x:v>
      </x:c>
      <x:c r="H43" s="16" t="str">
        <x:v>Belum dipetakan</x:v>
      </x:c>
      <x:c r="I43" s="16" t="str">
        <x:v>Instrument</x:v>
      </x:c>
      <x:c r="J43" s="16" t="str">
        <x:v>Belum disurvei</x:v>
      </x:c>
      <x:c r="K43" s="16" t="str"/>
    </x:row>
    <x:row r="44" ht="34" customHeight="1">
      <x:c r="A44" s="13" t="str">
        <x:v>3.1​</x:v>
      </x:c>
      <x:c r="B44" s="13" t="str">
        <x:v>Cluster Head</x:v>
      </x:c>
      <x:c r="C44" s="13" t="str">
        <x:v>Utilitas listrik</x:v>
      </x:c>
      <x:c r="D44" s="13" t="str">
        <x:v>Sumber listrik CH</x:v>
      </x:c>
      <x:c r="E44" s="14" t="str">
        <x:v>Titik sumber, tegangan, dan kapasitas</x:v>
      </x:c>
      <x:c r="F44" s="16" t="str"/>
      <x:c r="G44" s="15" t="str">
        <x:v>titik</x:v>
      </x:c>
      <x:c r="H44" s="16" t="str">
        <x:v>Belum dipetakan</x:v>
      </x:c>
      <x:c r="I44" s="16" t="str">
        <x:v>Listrik</x:v>
      </x:c>
      <x:c r="J44" s="16" t="str">
        <x:v>Belum disurvei</x:v>
      </x:c>
      <x:c r="K44" s="16" t="str"/>
    </x:row>
    <x:row r="45" ht="34" customHeight="1">
      <x:c r="A45" s="13" t="str">
        <x:v>3.2​</x:v>
      </x:c>
      <x:c r="B45" s="13" t="str">
        <x:v>Cluster Head</x:v>
      </x:c>
      <x:c r="C45" s="13" t="str">
        <x:v>Utilitas listrik</x:v>
      </x:c>
      <x:c r="D45" s="13" t="str">
        <x:v>Power supply CH</x:v>
      </x:c>
      <x:c r="E45" s="14" t="str">
        <x:v>Sesuai spesifikasi unit Cluster Head</x:v>
      </x:c>
      <x:c r="F45" s="16" t="str"/>
      <x:c r="G45" s="15" t="str">
        <x:v>unit</x:v>
      </x:c>
      <x:c r="H45" s="16" t="str">
        <x:v>Belum dipetakan</x:v>
      </x:c>
      <x:c r="I45" s="16" t="str">
        <x:v>Listrik</x:v>
      </x:c>
      <x:c r="J45" s="16" t="str">
        <x:v>Belum disurvei</x:v>
      </x:c>
      <x:c r="K45" s="16" t="str"/>
    </x:row>
    <x:row r="46" ht="34" customHeight="1">
      <x:c r="A46" s="13" t="str">
        <x:v>3.3​</x:v>
      </x:c>
      <x:c r="B46" s="13" t="str">
        <x:v>Cluster Head</x:v>
      </x:c>
      <x:c r="C46" s="13" t="str">
        <x:v>Utilitas listrik</x:v>
      </x:c>
      <x:c r="D46" s="13" t="str">
        <x:v>Backup power / UPS</x:v>
      </x:c>
      <x:c r="E46" s="14" t="str">
        <x:v>Ditentukan oleh kebutuhan kontinuitas layanan</x:v>
      </x:c>
      <x:c r="F46" s="16" t="str"/>
      <x:c r="G46" s="15" t="str">
        <x:v>unit</x:v>
      </x:c>
      <x:c r="H46" s="16" t="str">
        <x:v>Belum dipetakan</x:v>
      </x:c>
      <x:c r="I46" s="16" t="str">
        <x:v>Listrik/Operasi</x:v>
      </x:c>
      <x:c r="J46" s="16" t="str">
        <x:v>Belum disurvei</x:v>
      </x:c>
      <x:c r="K46" s="16" t="str"/>
    </x:row>
    <x:row r="47" ht="34" customHeight="1">
      <x:c r="A47" s="13" t="str">
        <x:v>3.4​</x:v>
      </x:c>
      <x:c r="B47" s="13" t="str">
        <x:v>Cluster Head</x:v>
      </x:c>
      <x:c r="C47" s="13" t="str">
        <x:v>Mekanik</x:v>
      </x:c>
      <x:c r="D47" s="13" t="str">
        <x:v>Enclosure/panel CH</x:v>
      </x:c>
      <x:c r="E47" s="14" t="str">
        <x:v>Indoor/outdoor, akses servis, dan perlindungan lingkungan</x:v>
      </x:c>
      <x:c r="F47" s="16" t="str"/>
      <x:c r="G47" s="15" t="str">
        <x:v>unit</x:v>
      </x:c>
      <x:c r="H47" s="16" t="str">
        <x:v>Belum dipetakan</x:v>
      </x:c>
      <x:c r="I47" s="16" t="str">
        <x:v>Instrument</x:v>
      </x:c>
      <x:c r="J47" s="16" t="str">
        <x:v>Belum disurvei</x:v>
      </x:c>
      <x:c r="K47" s="16" t="str"/>
    </x:row>
    <x:row r="48" ht="34" customHeight="1">
      <x:c r="A48" s="13" t="str">
        <x:v>3.5​</x:v>
      </x:c>
      <x:c r="B48" s="13" t="str">
        <x:v>Cluster Head</x:v>
      </x:c>
      <x:c r="C48" s="13" t="str">
        <x:v>Radio</x:v>
      </x:c>
      <x:c r="D48" s="13" t="str">
        <x:v>Antena LoRa sisi GLD</x:v>
      </x:c>
      <x:c r="E48" s="14" t="str">
        <x:v>Jenis, gain, konektor, orientasi, dan tinggi</x:v>
      </x:c>
      <x:c r="F48" s="16" t="str"/>
      <x:c r="G48" s="15" t="str">
        <x:v>unit</x:v>
      </x:c>
      <x:c r="H48" s="16" t="str">
        <x:v>Belum dipetakan</x:v>
      </x:c>
      <x:c r="I48" s="16" t="str">
        <x:v>Instrument</x:v>
      </x:c>
      <x:c r="J48" s="16" t="str">
        <x:v>Belum disurvei</x:v>
      </x:c>
      <x:c r="K48" s="16" t="str"/>
    </x:row>
    <x:row r="49" ht="34" customHeight="1">
      <x:c r="A49" s="13" t="str">
        <x:v>3.6​</x:v>
      </x:c>
      <x:c r="B49" s="13" t="str">
        <x:v>Cluster Head</x:v>
      </x:c>
      <x:c r="C49" s="13" t="str">
        <x:v>Radio</x:v>
      </x:c>
      <x:c r="D49" s="13" t="str">
        <x:v>Antena LoRa sisi Gateway</x:v>
      </x:c>
      <x:c r="E49" s="14" t="str">
        <x:v>Jenis, gain, konektor, orientasi, dan tinggi</x:v>
      </x:c>
      <x:c r="F49" s="16" t="str"/>
      <x:c r="G49" s="15" t="str">
        <x:v>unit</x:v>
      </x:c>
      <x:c r="H49" s="16" t="str">
        <x:v>Belum dipetakan</x:v>
      </x:c>
      <x:c r="I49" s="16" t="str">
        <x:v>Instrument</x:v>
      </x:c>
      <x:c r="J49" s="16" t="str">
        <x:v>Belum disurvei</x:v>
      </x:c>
      <x:c r="K49" s="16" t="str"/>
    </x:row>
    <x:row r="50" ht="34" customHeight="1">
      <x:c r="A50" s="13" t="str">
        <x:v>3.7​</x:v>
      </x:c>
      <x:c r="B50" s="13" t="str">
        <x:v>Cluster Head</x:v>
      </x:c>
      <x:c r="C50" s="13" t="str">
        <x:v>Radio</x:v>
      </x:c>
      <x:c r="D50" s="13" t="str">
        <x:v>Kabel coax dan konektor RF</x:v>
      </x:c>
      <x:c r="E50" s="14" t="str">
        <x:v>Panjang, tipe kabel, konektor, dan proteksi</x:v>
      </x:c>
      <x:c r="F50" s="16" t="str"/>
      <x:c r="G50" s="15" t="str">
        <x:v>set</x:v>
      </x:c>
      <x:c r="H50" s="16" t="str">
        <x:v>Belum dipetakan</x:v>
      </x:c>
      <x:c r="I50" s="16" t="str">
        <x:v>Instrument</x:v>
      </x:c>
      <x:c r="J50" s="16" t="str">
        <x:v>Belum disurvei</x:v>
      </x:c>
      <x:c r="K50" s="16" t="str"/>
    </x:row>
    <x:row r="51" ht="34" customHeight="1">
      <x:c r="A51" s="13" t="str">
        <x:v>3.8​</x:v>
      </x:c>
      <x:c r="B51" s="13" t="str">
        <x:v>Cluster Head</x:v>
      </x:c>
      <x:c r="C51" s="13" t="str">
        <x:v>Mekanik</x:v>
      </x:c>
      <x:c r="D51" s="13" t="str">
        <x:v>Pole/bracket antena</x:v>
      </x:c>
      <x:c r="E51" s="14" t="str">
        <x:v>Tinggi dan kekuatan mounting</x:v>
      </x:c>
      <x:c r="F51" s="16" t="str"/>
      <x:c r="G51" s="15" t="str">
        <x:v>set</x:v>
      </x:c>
      <x:c r="H51" s="16" t="str">
        <x:v>Belum dipetakan</x:v>
      </x:c>
      <x:c r="I51" s="16" t="str">
        <x:v>Sipil/Instrument</x:v>
      </x:c>
      <x:c r="J51" s="16" t="str">
        <x:v>Belum disurvei</x:v>
      </x:c>
      <x:c r="K51" s="16" t="str"/>
    </x:row>
    <x:row r="52" ht="34" customHeight="1">
      <x:c r="A52" s="13" t="str">
        <x:v>3.9​</x:v>
      </x:c>
      <x:c r="B52" s="13" t="str">
        <x:v>Cluster Head</x:v>
      </x:c>
      <x:c r="C52" s="13" t="str">
        <x:v>Proteksi</x:v>
      </x:c>
      <x:c r="D52" s="13" t="str">
        <x:v>Grounding</x:v>
      </x:c>
      <x:c r="E52" s="14" t="str">
        <x:v>Titik grounding dan kontinuitas grounding</x:v>
      </x:c>
      <x:c r="F52" s="16" t="str"/>
      <x:c r="G52" s="15" t="str">
        <x:v>titik</x:v>
      </x:c>
      <x:c r="H52" s="16" t="str">
        <x:v>Belum dipetakan</x:v>
      </x:c>
      <x:c r="I52" s="16" t="str">
        <x:v>Listrik</x:v>
      </x:c>
      <x:c r="J52" s="16" t="str">
        <x:v>Belum disurvei</x:v>
      </x:c>
      <x:c r="K52" s="16" t="str"/>
    </x:row>
    <x:row r="53" ht="34" customHeight="1">
      <x:c r="A53" s="13" t="str">
        <x:v>3.10​</x:v>
      </x:c>
      <x:c r="B53" s="13" t="str">
        <x:v>Cluster Head</x:v>
      </x:c>
      <x:c r="C53" s="13" t="str">
        <x:v>Proteksi</x:v>
      </x:c>
      <x:c r="D53" s="13" t="str">
        <x:v>Surge / proteksi petir</x:v>
      </x:c>
      <x:c r="E53" s="14" t="str">
        <x:v>Proteksi suplai dan antena sesuai desain lokasi</x:v>
      </x:c>
      <x:c r="F53" s="16" t="str"/>
      <x:c r="G53" s="15" t="str">
        <x:v>set</x:v>
      </x:c>
      <x:c r="H53" s="16" t="str">
        <x:v>Belum dipetakan</x:v>
      </x:c>
      <x:c r="I53" s="16" t="str">
        <x:v>Listrik/Instrument</x:v>
      </x:c>
      <x:c r="J53" s="16" t="str">
        <x:v>Belum disurvei</x:v>
      </x:c>
      <x:c r="K53" s="16" t="str"/>
    </x:row>
    <x:row r="54" ht="34" customHeight="1">
      <x:c r="A54" s="13" t="str">
        <x:v>3.11​</x:v>
      </x:c>
      <x:c r="B54" s="13" t="str">
        <x:v>Cluster Head</x:v>
      </x:c>
      <x:c r="C54" s="13" t="str">
        <x:v>Operasional</x:v>
      </x:c>
      <x:c r="D54" s="13" t="str">
        <x:v>Akses commissioning</x:v>
      </x:c>
      <x:c r="E54" s="14" t="str">
        <x:v>Akses serial/USB, izin kerja, dan PIC area</x:v>
      </x:c>
      <x:c r="F54" s="16" t="str"/>
      <x:c r="G54" s="15" t="str">
        <x:v>lokasi</x:v>
      </x:c>
      <x:c r="H54" s="16" t="str">
        <x:v>Belum dipetakan</x:v>
      </x:c>
      <x:c r="I54" s="16" t="str">
        <x:v>Operasi</x:v>
      </x:c>
      <x:c r="J54" s="16" t="str">
        <x:v>Belum disurvei</x:v>
      </x:c>
      <x:c r="K54" s="16" t="str"/>
    </x:row>
    <x:row r="55" ht="34" customHeight="1">
      <x:c r="A55" s="13" t="str">
        <x:v>3.12​</x:v>
      </x:c>
      <x:c r="B55" s="13" t="str">
        <x:v>Cluster Head</x:v>
      </x:c>
      <x:c r="C55" s="13" t="str">
        <x:v>Dokumentasi</x:v>
      </x:c>
      <x:c r="D55" s="13" t="str">
        <x:v>Label node ID</x:v>
      </x:c>
      <x:c r="E55" s="14" t="str">
        <x:v>ID CH, lokasi, dan label perangkat</x:v>
      </x:c>
      <x:c r="F55" s="16" t="str"/>
      <x:c r="G55" s="15" t="str">
        <x:v>label</x:v>
      </x:c>
      <x:c r="H55" s="16" t="str">
        <x:v>Belum dipetakan</x:v>
      </x:c>
      <x:c r="I55" s="16" t="str">
        <x:v>Instrument</x:v>
      </x:c>
      <x:c r="J55" s="16" t="str">
        <x:v>Belum disurvei</x:v>
      </x:c>
      <x:c r="K55" s="16" t="str"/>
    </x:row>
    <x:row r="56" ht="34" customHeight="1">
      <x:c r="A56" s="13" t="str">
        <x:v>3.13​</x:v>
      </x:c>
      <x:c r="B56" s="13" t="str">
        <x:v>Cluster Head</x:v>
      </x:c>
      <x:c r="C56" s="13" t="str">
        <x:v>Radio</x:v>
      </x:c>
      <x:c r="D56" s="13" t="str">
        <x:v>Uji RSSI/SNR ke GW dan GLD</x:v>
      </x:c>
      <x:c r="E56" s="14" t="str">
        <x:v>Hasil ukur per link serta indikasi blank spot</x:v>
      </x:c>
      <x:c r="F56" s="16" t="str"/>
      <x:c r="G56" s="15" t="str">
        <x:v>kegiatan</x:v>
      </x:c>
      <x:c r="H56" s="16" t="str">
        <x:v>Belum dipetakan</x:v>
      </x:c>
      <x:c r="I56" s="16" t="str">
        <x:v>Instrument</x:v>
      </x:c>
      <x:c r="J56" s="16" t="str">
        <x:v>Belum disurvei</x:v>
      </x:c>
      <x:c r="K56" s="16" t="str"/>
    </x:row>
    <x:row r="57" ht="34" customHeight="1">
      <x:c r="A57" s="13" t="str">
        <x:v>4.1​</x:v>
      </x:c>
      <x:c r="B57" s="13" t="str">
        <x:v>GLD</x:v>
      </x:c>
      <x:c r="C57" s="13" t="str">
        <x:v>Utilitas listrik</x:v>
      </x:c>
      <x:c r="D57" s="13" t="str">
        <x:v>Sumber listrik GLD</x:v>
      </x:c>
      <x:c r="E57" s="14" t="str">
        <x:v>Titik sumber, tegangan, dan kapasitas</x:v>
      </x:c>
      <x:c r="F57" s="16" t="str"/>
      <x:c r="G57" s="15" t="str">
        <x:v>titik</x:v>
      </x:c>
      <x:c r="H57" s="16" t="str">
        <x:v>Belum dipetakan</x:v>
      </x:c>
      <x:c r="I57" s="16" t="str">
        <x:v>Listrik</x:v>
      </x:c>
      <x:c r="J57" s="16" t="str">
        <x:v>Belum disurvei</x:v>
      </x:c>
      <x:c r="K57" s="16" t="str"/>
    </x:row>
    <x:row r="58" ht="34" customHeight="1">
      <x:c r="A58" s="13" t="str">
        <x:v>4.2​</x:v>
      </x:c>
      <x:c r="B58" s="13" t="str">
        <x:v>GLD</x:v>
      </x:c>
      <x:c r="C58" s="13" t="str">
        <x:v>Instalasi listrik</x:v>
      </x:c>
      <x:c r="D58" s="13" t="str">
        <x:v>Kabel daya, terminal, gland, conduit</x:v>
      </x:c>
      <x:c r="E58" s="14" t="str">
        <x:v>Panjang/jalur kabel, tipe gland, proteksi mekanik</x:v>
      </x:c>
      <x:c r="F58" s="16" t="str"/>
      <x:c r="G58" s="15" t="str">
        <x:v>set</x:v>
      </x:c>
      <x:c r="H58" s="16" t="str">
        <x:v>Belum dipetakan</x:v>
      </x:c>
      <x:c r="I58" s="16" t="str">
        <x:v>Listrik/Instrument</x:v>
      </x:c>
      <x:c r="J58" s="16" t="str">
        <x:v>Belum disurvei</x:v>
      </x:c>
      <x:c r="K58" s="16" t="str"/>
    </x:row>
    <x:row r="59" ht="34" customHeight="1">
      <x:c r="A59" s="13" t="str">
        <x:v>4.3​</x:v>
      </x:c>
      <x:c r="B59" s="13" t="str">
        <x:v>GLD</x:v>
      </x:c>
      <x:c r="C59" s="13" t="str">
        <x:v>Mekanik</x:v>
      </x:c>
      <x:c r="D59" s="13" t="str">
        <x:v>Enclosure/panel GLD</x:v>
      </x:c>
      <x:c r="E59" s="14" t="str">
        <x:v>Kondisi area, akses servis, dan perlindungan lingkungan</x:v>
      </x:c>
      <x:c r="F59" s="16" t="str"/>
      <x:c r="G59" s="15" t="str">
        <x:v>unit</x:v>
      </x:c>
      <x:c r="H59" s="16" t="str">
        <x:v>Belum dipetakan</x:v>
      </x:c>
      <x:c r="I59" s="16" t="str">
        <x:v>Instrument</x:v>
      </x:c>
      <x:c r="J59" s="16" t="str">
        <x:v>Belum disurvei</x:v>
      </x:c>
      <x:c r="K59" s="16" t="str"/>
    </x:row>
    <x:row r="60" ht="34" customHeight="1">
      <x:c r="A60" s="13" t="str">
        <x:v>4.4​</x:v>
      </x:c>
      <x:c r="B60" s="13" t="str">
        <x:v>GLD</x:v>
      </x:c>
      <x:c r="C60" s="13" t="str">
        <x:v>Proteksi</x:v>
      </x:c>
      <x:c r="D60" s="13" t="str">
        <x:v>Grounding unit</x:v>
      </x:c>
      <x:c r="E60" s="14" t="str">
        <x:v>Titik grounding dan kontinuitas grounding</x:v>
      </x:c>
      <x:c r="F60" s="16" t="str"/>
      <x:c r="G60" s="15" t="str">
        <x:v>titik</x:v>
      </x:c>
      <x:c r="H60" s="16" t="str">
        <x:v>Belum dipetakan</x:v>
      </x:c>
      <x:c r="I60" s="16" t="str">
        <x:v>Listrik</x:v>
      </x:c>
      <x:c r="J60" s="16" t="str">
        <x:v>Belum disurvei</x:v>
      </x:c>
      <x:c r="K60" s="16" t="str"/>
    </x:row>
    <x:row r="61" ht="34" customHeight="1">
      <x:c r="A61" s="13" t="str">
        <x:v>4.5​</x:v>
      </x:c>
      <x:c r="B61" s="13" t="str">
        <x:v>GLD</x:v>
      </x:c>
      <x:c r="C61" s="13" t="str">
        <x:v>Mekanik</x:v>
      </x:c>
      <x:c r="D61" s="13" t="str">
        <x:v>Mounting/bracket</x:v>
      </x:c>
      <x:c r="E61" s="14" t="str">
        <x:v>Posisi unit, tinggi pemasangan, dan akses maintenance</x:v>
      </x:c>
      <x:c r="F61" s="16" t="str"/>
      <x:c r="G61" s="15" t="str">
        <x:v>set</x:v>
      </x:c>
      <x:c r="H61" s="16" t="str">
        <x:v>Belum dipetakan</x:v>
      </x:c>
      <x:c r="I61" s="16" t="str">
        <x:v>Instrument</x:v>
      </x:c>
      <x:c r="J61" s="16" t="str">
        <x:v>Belum disurvei</x:v>
      </x:c>
      <x:c r="K61" s="16" t="str"/>
    </x:row>
    <x:row r="62" ht="34" customHeight="1">
      <x:c r="A62" s="13" t="str">
        <x:v>4.6​</x:v>
      </x:c>
      <x:c r="B62" s="13" t="str">
        <x:v>GLD</x:v>
      </x:c>
      <x:c r="C62" s="13" t="str">
        <x:v>Radio</x:v>
      </x:c>
      <x:c r="D62" s="13" t="str">
        <x:v>Antena LoRa</x:v>
      </x:c>
      <x:c r="E62" s="14" t="str">
        <x:v>Tipe internal/eksternal, jalur kabel, dan orientasi bila eksternal</x:v>
      </x:c>
      <x:c r="F62" s="16" t="str"/>
      <x:c r="G62" s="15" t="str">
        <x:v>unit</x:v>
      </x:c>
      <x:c r="H62" s="16" t="str">
        <x:v>Belum dipetakan</x:v>
      </x:c>
      <x:c r="I62" s="16" t="str">
        <x:v>Instrument</x:v>
      </x:c>
      <x:c r="J62" s="16" t="str">
        <x:v>Belum disurvei</x:v>
      </x:c>
      <x:c r="K62" s="16" t="str"/>
    </x:row>
    <x:row r="63" ht="34" customHeight="1">
      <x:c r="A63" s="13" t="str">
        <x:v>4.7​</x:v>
      </x:c>
      <x:c r="B63" s="13" t="str">
        <x:v>GLD</x:v>
      </x:c>
      <x:c r="C63" s="13" t="str">
        <x:v>Proses</x:v>
      </x:c>
      <x:c r="D63" s="13" t="str">
        <x:v>Posisi sensor terhadap sumber kebocoran</x:v>
      </x:c>
      <x:c r="E63" s="14" t="str">
        <x:v>Tag equipment, jenis gas, dan titik potensi kebocoran</x:v>
      </x:c>
      <x:c r="F63" s="16" t="str"/>
      <x:c r="G63" s="15" t="str">
        <x:v>titik</x:v>
      </x:c>
      <x:c r="H63" s="16" t="str">
        <x:v>Belum dipetakan</x:v>
      </x:c>
      <x:c r="I63" s="16" t="str">
        <x:v>Operasi/Instrument</x:v>
      </x:c>
      <x:c r="J63" s="16" t="str">
        <x:v>Belum disurvei</x:v>
      </x:c>
      <x:c r="K63" s="16" t="str"/>
    </x:row>
    <x:row r="64" ht="34" customHeight="1">
      <x:c r="A64" s="13" t="str">
        <x:v>4.8​</x:v>
      </x:c>
      <x:c r="B64" s="13" t="str">
        <x:v>GLD</x:v>
      </x:c>
      <x:c r="C64" s="13" t="str">
        <x:v>Proses</x:v>
      </x:c>
      <x:c r="D64" s="13" t="str">
        <x:v>Arah angin/ventilasi</x:v>
      </x:c>
      <x:c r="E64" s="14" t="str">
        <x:v>Arah aliran udara dan potensi akumulasi gas</x:v>
      </x:c>
      <x:c r="F64" s="16" t="str"/>
      <x:c r="G64" s="15" t="str">
        <x:v>titik</x:v>
      </x:c>
      <x:c r="H64" s="16" t="str">
        <x:v>Belum dipetakan</x:v>
      </x:c>
      <x:c r="I64" s="16" t="str">
        <x:v>Operasi/HSE</x:v>
      </x:c>
      <x:c r="J64" s="16" t="str">
        <x:v>Belum disurvei</x:v>
      </x:c>
      <x:c r="K64" s="16" t="str"/>
    </x:row>
    <x:row r="65" ht="34" customHeight="1">
      <x:c r="A65" s="13" t="str">
        <x:v>4.9​</x:v>
      </x:c>
      <x:c r="B65" s="13" t="str">
        <x:v>GLD</x:v>
      </x:c>
      <x:c r="C65" s="13" t="str">
        <x:v>Operasional</x:v>
      </x:c>
      <x:c r="D65" s="13" t="str">
        <x:v>Akses inspeksi dan maintenance</x:v>
      </x:c>
      <x:c r="E65" s="14" t="str">
        <x:v>Ruang kerja, izin akses, dan PIC area</x:v>
      </x:c>
      <x:c r="F65" s="16" t="str"/>
      <x:c r="G65" s="15" t="str">
        <x:v>lokasi</x:v>
      </x:c>
      <x:c r="H65" s="16" t="str">
        <x:v>Belum dipetakan</x:v>
      </x:c>
      <x:c r="I65" s="16" t="str">
        <x:v>Operasi</x:v>
      </x:c>
      <x:c r="J65" s="16" t="str">
        <x:v>Belum disurvei</x:v>
      </x:c>
      <x:c r="K65" s="16" t="str"/>
    </x:row>
    <x:row r="66" ht="34" customHeight="1">
      <x:c r="A66" s="13" t="str">
        <x:v>4.10​</x:v>
      </x:c>
      <x:c r="B66" s="13" t="str">
        <x:v>GLD</x:v>
      </x:c>
      <x:c r="C66" s="13" t="str">
        <x:v>Operasional</x:v>
      </x:c>
      <x:c r="D66" s="13" t="str">
        <x:v>Proses warm-up/zeroing/nulling/kalibrasi</x:v>
      </x:c>
      <x:c r="E66" s="14" t="str">
        <x:v>Metode, jadwal, alat uji, dan PIC</x:v>
      </x:c>
      <x:c r="F66" s="16" t="str"/>
      <x:c r="G66" s="15" t="str">
        <x:v>prosedur</x:v>
      </x:c>
      <x:c r="H66" s="16" t="str">
        <x:v>Belum dipetakan</x:v>
      </x:c>
      <x:c r="I66" s="16" t="str">
        <x:v>Instrument</x:v>
      </x:c>
      <x:c r="J66" s="16" t="str">
        <x:v>Belum disurvei</x:v>
      </x:c>
      <x:c r="K66" s="16" t="str"/>
    </x:row>
    <x:row r="67" ht="34" customHeight="1">
      <x:c r="A67" s="13" t="str">
        <x:v>4.11​</x:v>
      </x:c>
      <x:c r="B67" s="13" t="str">
        <x:v>GLD</x:v>
      </x:c>
      <x:c r="C67" s="13" t="str">
        <x:v>Dokumentasi</x:v>
      </x:c>
      <x:c r="D67" s="13" t="str">
        <x:v>Tag equipment dan node ID</x:v>
      </x:c>
      <x:c r="E67" s="14" t="str">
        <x:v>ID GLD, lokasi, serta label perangkat</x:v>
      </x:c>
      <x:c r="F67" s="16" t="str"/>
      <x:c r="G67" s="15" t="str">
        <x:v>label</x:v>
      </x:c>
      <x:c r="H67" s="16" t="str">
        <x:v>Belum dipetakan</x:v>
      </x:c>
      <x:c r="I67" s="16" t="str">
        <x:v>Instrument</x:v>
      </x:c>
      <x:c r="J67" s="16" t="str">
        <x:v>Belum disurvei</x:v>
      </x:c>
      <x:c r="K67" s="16" t="str"/>
    </x:row>
    <x:row r="68" ht="34" customHeight="1">
      <x:c r="A68" s="13" t="str">
        <x:v>4.12​</x:v>
      </x:c>
      <x:c r="B68" s="13" t="str">
        <x:v>GLD</x:v>
      </x:c>
      <x:c r="C68" s="13" t="str">
        <x:v>Radio</x:v>
      </x:c>
      <x:c r="D68" s="13" t="str">
        <x:v>Uji kualitas link GLD ke CH</x:v>
      </x:c>
      <x:c r="E68" s="14" t="str">
        <x:v>RSSI/SNR, jarak, penghalang, dan hasil uji</x:v>
      </x:c>
      <x:c r="F68" s="16" t="str"/>
      <x:c r="G68" s="15" t="str">
        <x:v>kegiatan</x:v>
      </x:c>
      <x:c r="H68" s="16" t="str">
        <x:v>Belum dipetakan</x:v>
      </x:c>
      <x:c r="I68" s="16" t="str">
        <x:v>Instrument</x:v>
      </x:c>
      <x:c r="J68" s="16" t="str">
        <x:v>Belum disurvei</x:v>
      </x:c>
      <x:c r="K68" s="16" t="str"/>
    </x:row>
    <x:row r="69" ht="34" customHeight="1">
      <x:c r="A69" s="13" t="str">
        <x:v>4.13​</x:v>
      </x:c>
      <x:c r="B69" s="13" t="str">
        <x:v>GLD</x:v>
      </x:c>
      <x:c r="C69" s="13" t="str">
        <x:v>Keselamatan</x:v>
      </x:c>
      <x:c r="D69" s="13" t="str">
        <x:v>Indikator/alarm lokal</x:v>
      </x:c>
      <x:c r="E69" s="14" t="str">
        <x:v>Kebutuhan lampu/buzzer/interlock dan PIC keputusan</x:v>
      </x:c>
      <x:c r="F69" s="16" t="str"/>
      <x:c r="G69" s="15" t="str">
        <x:v>set</x:v>
      </x:c>
      <x:c r="H69" s="16" t="str">
        <x:v>Belum dipetakan</x:v>
      </x:c>
      <x:c r="I69" s="16" t="str">
        <x:v>Operasi/HSE</x:v>
      </x:c>
      <x:c r="J69" s="16" t="str">
        <x:v>Belum disurvei</x:v>
      </x:c>
      <x:c r="K69" s="16" t="str"/>
    </x:row>
    <x:row r="70" ht="34" customHeight="1">
      <x:c r="A70" s="13" t="str">
        <x:v>4.14​</x:v>
      </x:c>
      <x:c r="B70" s="13" t="str">
        <x:v>GLD</x:v>
      </x:c>
      <x:c r="C70" s="13" t="str">
        <x:v>Dokumentasi</x:v>
      </x:c>
      <x:c r="D70" s="13" t="str">
        <x:v>Logbook pemeriksaan</x:v>
      </x:c>
      <x:c r="E70" s="14" t="str">
        <x:v>Format catatan inspeksi, hasil uji, dan tindak lanjut</x:v>
      </x:c>
      <x:c r="F70" s="16" t="str"/>
      <x:c r="G70" s="15" t="str">
        <x:v>prosedur</x:v>
      </x:c>
      <x:c r="H70" s="16" t="str">
        <x:v>Belum dipetakan</x:v>
      </x:c>
      <x:c r="I70" s="16" t="str">
        <x:v>Operasi/Instrument</x:v>
      </x:c>
      <x:c r="J70" s="16" t="str">
        <x:v>Belum disurvei</x:v>
      </x:c>
      <x:c r="K70" s="16" t="str"/>
    </x:row>
    <x:row r="71" ht="34" customHeight="1">
      <x:c r="A71" s="13" t="str">
        <x:v>5.1​</x:v>
      </x:c>
      <x:c r="B71" s="13" t="str">
        <x:v>Lintas sistem</x:v>
      </x:c>
      <x:c r="C71" s="13" t="str">
        <x:v>Dokumentasi</x:v>
      </x:c>
      <x:c r="D71" s="13" t="str">
        <x:v>Denah area dan layout titik</x:v>
      </x:c>
      <x:c r="E71" s="14" t="str">
        <x:v>Denah terkini dan titik Server/GW/CH/GLD</x:v>
      </x:c>
      <x:c r="F71" s="16" t="str"/>
      <x:c r="G71" s="15" t="str">
        <x:v>dokumen</x:v>
      </x:c>
      <x:c r="H71" s="16" t="str">
        <x:v>Belum dipetakan</x:v>
      </x:c>
      <x:c r="I71" s="16" t="str">
        <x:v>Operasi</x:v>
      </x:c>
      <x:c r="J71" s="16" t="str">
        <x:v>Belum disurvei</x:v>
      </x:c>
      <x:c r="K71" s="16" t="str"/>
    </x:row>
    <x:row r="72" ht="34" customHeight="1">
      <x:c r="A72" s="13" t="str">
        <x:v>5.2​</x:v>
      </x:c>
      <x:c r="B72" s="13" t="str">
        <x:v>Lintas sistem</x:v>
      </x:c>
      <x:c r="C72" s="13" t="str">
        <x:v>Koordinasi</x:v>
      </x:c>
      <x:c r="D72" s="13" t="str">
        <x:v>Daftar PIC</x:v>
      </x:c>
      <x:c r="E72" s="14" t="str">
        <x:v>PIC IT, listrik, instrument, operasi, dan HSE</x:v>
      </x:c>
      <x:c r="F72" s="16" t="str"/>
      <x:c r="G72" s="15" t="str">
        <x:v>daftar</x:v>
      </x:c>
      <x:c r="H72" s="16" t="str">
        <x:v>Belum dipetakan</x:v>
      </x:c>
      <x:c r="I72" s="16" t="str">
        <x:v>PM/Operasi</x:v>
      </x:c>
      <x:c r="J72" s="16" t="str">
        <x:v>Belum disurvei</x:v>
      </x:c>
      <x:c r="K72" s="16" t="str"/>
    </x:row>
    <x:row r="73" ht="34" customHeight="1">
      <x:c r="A73" s="13" t="str">
        <x:v>5.3​</x:v>
      </x:c>
      <x:c r="B73" s="13" t="str">
        <x:v>Lintas sistem</x:v>
      </x:c>
      <x:c r="C73" s="13" t="str">
        <x:v>Dokumentasi</x:v>
      </x:c>
      <x:c r="D73" s="13" t="str">
        <x:v>Foto tiap titik</x:v>
      </x:c>
      <x:c r="E73" s="14" t="str">
        <x:v>Foto sumber listrik, jaringan, antena, dan lokasi unit</x:v>
      </x:c>
      <x:c r="F73" s="16" t="str"/>
      <x:c r="G73" s="15" t="str">
        <x:v>set</x:v>
      </x:c>
      <x:c r="H73" s="16" t="str">
        <x:v>Belum dipetakan</x:v>
      </x:c>
      <x:c r="I73" s="16" t="str">
        <x:v>Surveyor</x:v>
      </x:c>
      <x:c r="J73" s="16" t="str">
        <x:v>Belum disurvei</x:v>
      </x:c>
      <x:c r="K73" s="16" t="str"/>
    </x:row>
    <x:row r="74" ht="34" customHeight="1">
      <x:c r="A74" s="13" t="str">
        <x:v>5.4​</x:v>
      </x:c>
      <x:c r="B74" s="13" t="str">
        <x:v>Lintas sistem</x:v>
      </x:c>
      <x:c r="C74" s="13" t="str">
        <x:v>Keselamatan</x:v>
      </x:c>
      <x:c r="D74" s="13" t="str">
        <x:v>Izin kerja dan klasifikasi area</x:v>
      </x:c>
      <x:c r="E74" s="14" t="str">
        <x:v>Izin akses, klasifikasi area, dan persyaratan HSE</x:v>
      </x:c>
      <x:c r="F74" s="16" t="str"/>
      <x:c r="G74" s="15" t="str">
        <x:v>dokumen</x:v>
      </x:c>
      <x:c r="H74" s="16" t="str">
        <x:v>Belum dipetakan</x:v>
      </x:c>
      <x:c r="I74" s="16" t="str">
        <x:v>HSE/Operasi</x:v>
      </x:c>
      <x:c r="J74" s="16" t="str">
        <x:v>Belum disurvei</x:v>
      </x:c>
      <x:c r="K74" s="16" t="str"/>
    </x:row>
    <x:row r="75" ht="34" customHeight="1">
      <x:c r="A75" s="13" t="str">
        <x:v>5.5​</x:v>
      </x:c>
      <x:c r="B75" s="13" t="str">
        <x:v>Lintas sistem</x:v>
      </x:c>
      <x:c r="C75" s="13" t="str">
        <x:v>Material</x:v>
      </x:c>
      <x:c r="D75" s="13" t="str">
        <x:v>Daftar material cadangan</x:v>
      </x:c>
      <x:c r="E75" s="14" t="str">
        <x:v>Antena, kabel RF, konektor, power supply, dan unit spare</x:v>
      </x:c>
      <x:c r="F75" s="16" t="str"/>
      <x:c r="G75" s="15" t="str">
        <x:v>set</x:v>
      </x:c>
      <x:c r="H75" s="16" t="str">
        <x:v>Belum dipetakan</x:v>
      </x:c>
      <x:c r="I75" s="16" t="str">
        <x:v>Instrument</x:v>
      </x:c>
      <x:c r="J75" s="16" t="str">
        <x:v>Belum disurvei</x:v>
      </x:c>
      <x:c r="K75" s="16" t="str"/>
    </x:row>
  </x:sheetData>
  <x:mergeCells>
    <x:mergeCell ref="A2:K2"/>
    <x:mergeCell ref="A3:K3"/>
    <x:mergeCell ref="D5:K5"/>
  </x:mergeCells>
  <x:dataValidations count="3">
    <x:dataValidation type="whole" operator="greaterThanOrEqual" sqref="F14:F75">
      <x:formula1>0</x:formula1>
    </x:dataValidation>
    <x:dataValidation type="list" sqref="H14:H75">
      <x:formula1>"Belum dipetakan,Tersedia,Tidak tersedia,Perlu pengadaan,Perlu konfirmasi"</x:formula1>
    </x:dataValidation>
    <x:dataValidation type="list" sqref="J14:J75">
      <x:formula1>"Belum disurvei,Sudah disurvei,Perlu tindak lanjut,Tidak diperlukan"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41c7f191cb457b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2">
      <x:c r="A2" s="1" t="str">
        <x:v>Petunjuk Pengisian</x:v>
      </x:c>
    </x:row>
    <x:row r="4">
      <x:c r="A4" s="6" t="str">
        <x:v>Kolom</x:v>
      </x:c>
      <x:c r="B4" s="6" t="str">
        <x:v>Cara isi</x:v>
      </x:c>
    </x:row>
    <x:row r="5" ht="32" customHeight="1">
      <x:c r="A5" s="6" t="str">
        <x:v>Jumlah</x:v>
      </x:c>
      <x:c r="B5" s="21" t="str">
        <x:v>Isi kebutuhan aktual setelah survei. Kosongkan bila belum diketahui.</x:v>
      </x:c>
    </x:row>
    <x:row r="6" ht="32" customHeight="1">
      <x:c r="A6" s="6" t="str">
        <x:v>Ketersediaan</x:v>
      </x:c>
      <x:c r="B6" s="21" t="str">
        <x:v>Pilih: Belum dipetakan, Tersedia, Tidak tersedia, Perlu pengadaan, atau Perlu konfirmasi.</x:v>
      </x:c>
    </x:row>
    <x:row r="7" ht="32" customHeight="1">
      <x:c r="A7" s="6" t="str">
        <x:v>PIC</x:v>
      </x:c>
      <x:c r="B7" s="21" t="str">
        <x:v>Isi penanggung jawab yang menyetujui atau menindaklanjuti item.</x:v>
      </x:c>
    </x:row>
    <x:row r="8" ht="32" customHeight="1">
      <x:c r="A8" s="6" t="str">
        <x:v>Status Survei</x:v>
      </x:c>
      <x:c r="B8" s="21" t="str">
        <x:v>Pilih status setelah titik diperiksa.</x:v>
      </x:c>
    </x:row>
    <x:row r="9" ht="32" customHeight="1">
      <x:c r="A9" s="6" t="str">
        <x:v>Catatan</x:v>
      </x:c>
      <x:c r="B9" s="21" t="str">
        <x:v>Isi lokasi spesifik, nomor panel/switch, hasil ukur, hambatan, atau tindak lanjut.</x:v>
      </x:c>
    </x:row>
    <x:row r="12">
      <x:c r="A12" s="23" t="str">
        <x:v>Catatan keselamatan</x:v>
      </x:c>
      <x:c r="B12" s="23" t="str"/>
    </x:row>
    <x:row r="13" ht="48" customHeight="1">
      <x:c r="A13" s="24" t="str">
        <x:v>Klasifikasi area</x:v>
      </x:c>
      <x:c r="B13" s="24" t="str">
        <x:v>Sebelum menetapkan enclosure, sumber daya, antena, atau metode instalasi di area berpotensi gas mudah terbakar, minta konfirmasi HSE/engineering mengenai klasifikasi area dan persyaratan yang berlaku.</x:v>
      </x:c>
    </x:row>
    <x:row r="14" ht="48" customHeight="1">
      <x:c r="A14" s="24" t="str">
        <x:v>Batasan</x:v>
      </x:c>
      <x:c r="B14" s="24" t="str">
        <x:v>Workbook ini adalah daftar kebutuhan survei, bukan bukti kesesuaian sertifikasi atau bukti instalasi lapangan.</x:v>
      </x:c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f72638d4c3bf40f1"/>
  </x:tableParts>
</x:worksheet>
</file>